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drawings/drawing2.xml" ContentType="application/vnd.openxmlformats-officedocument.drawing+xml"/>
  <Override PartName="/xl/activeX/activeX4.xml" ContentType="application/vnd.ms-office.activeX+xml"/>
  <Override PartName="/xl/activeX/activeX4.bin" ContentType="application/vnd.ms-office.activeX"/>
  <Override PartName="/xl/drawings/drawing3.xml" ContentType="application/vnd.openxmlformats-officedocument.drawing+xml"/>
  <Override PartName="/xl/activeX/activeX5.xml" ContentType="application/vnd.ms-office.activeX+xml"/>
  <Override PartName="/xl/activeX/activeX5.bin" ContentType="application/vnd.ms-office.activeX"/>
  <Override PartName="/xl/drawings/drawing4.xml" ContentType="application/vnd.openxmlformats-officedocument.drawing+xml"/>
  <Override PartName="/xl/activeX/activeX6.xml" ContentType="application/vnd.ms-office.activeX+xml"/>
  <Override PartName="/xl/activeX/activeX6.bin" ContentType="application/vnd.ms-office.activeX"/>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updateLinks="never" codeName="ThisWorkbook"/>
  <mc:AlternateContent xmlns:mc="http://schemas.openxmlformats.org/markup-compatibility/2006">
    <mc:Choice Requires="x15">
      <x15ac:absPath xmlns:x15ac="http://schemas.microsoft.com/office/spreadsheetml/2010/11/ac" url="D:\05-repertoires-ict-ssd (2022)\Deuxième année\P_App\P_App-Bruteforce\"/>
    </mc:Choice>
  </mc:AlternateContent>
  <xr:revisionPtr revIDLastSave="0" documentId="13_ncr:1_{F5922C3B-E461-4AF5-A9B6-F4FC4A5E2ECB}" xr6:coauthVersionLast="47" xr6:coauthVersionMax="47" xr10:uidLastSave="{00000000-0000-0000-0000-000000000000}"/>
  <bookViews>
    <workbookView xWindow="28680" yWindow="-120" windowWidth="29040" windowHeight="15840" activeTab="5" xr2:uid="{00000000-000D-0000-FFFF-FFFF00000000}"/>
  </bookViews>
  <sheets>
    <sheet name="Donnees" sheetId="7" r:id="rId1"/>
    <sheet name="DiagramHeader" sheetId="10" state="hidden" r:id="rId2"/>
    <sheet name="DiagramFooter" sheetId="130" state="hidden" r:id="rId3"/>
    <sheet name="PlanificationWeek" sheetId="11" state="hidden" r:id="rId4"/>
    <sheet name="achievementWeek" sheetId="154" state="hidden" r:id="rId5"/>
    <sheet name="JNLTRAV" sheetId="156" r:id="rId6"/>
  </sheets>
  <definedNames>
    <definedName name="datDateBegin">Donnees!$C$9</definedName>
    <definedName name="lstTasks">Donnees!$C$20:$C$45</definedName>
    <definedName name="NbPerWeek">Donnees!$C$12</definedName>
    <definedName name="NbQuartPer">Donnees!$C$13</definedName>
    <definedName name="NbWeeks">Donnees!$C$11</definedName>
    <definedName name="objFooterDiagram">DiagramFooter!$B$3:$C$4</definedName>
    <definedName name="objPlanifWeek">PlanificationWeek!$A$1:$D$14</definedName>
    <definedName name="objRealizedWeek" localSheetId="4">achievementWeek!$A$1:$D$19</definedName>
    <definedName name="objRealizedWeek" localSheetId="5">JNLTRAV!$A$1:$D$19</definedName>
    <definedName name="_xlnm.Print_Area" localSheetId="0">Donnees!$A$1:$G$47</definedName>
  </definedNames>
  <calcPr calcId="191029"/>
  <customWorkbookViews>
    <customWorkbookView name="Gilbert Gruaz - Affichage personnalisé" guid="{4120A410-7ADA-42AD-8010-013327A2ECF1}" mergeInterval="0" personalView="1" maximized="1" windowWidth="1916" windowHeight="821" activeSheetId="4"/>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156" l="1"/>
  <c r="D20" i="156" s="1"/>
  <c r="D40" i="156" s="1"/>
  <c r="D59" i="156" s="1"/>
  <c r="D78" i="156" s="1"/>
  <c r="D97" i="156" s="1"/>
  <c r="D116" i="156" s="1"/>
  <c r="D135" i="156" s="1"/>
  <c r="B152" i="156"/>
  <c r="B133" i="156"/>
  <c r="B114" i="156"/>
  <c r="B95" i="156"/>
  <c r="B76" i="156"/>
  <c r="B57" i="156"/>
  <c r="B38" i="156"/>
  <c r="B18" i="156"/>
  <c r="B18" i="154" l="1"/>
  <c r="B13" i="11" l="1"/>
</calcChain>
</file>

<file path=xl/sharedStrings.xml><?xml version="1.0" encoding="utf-8"?>
<sst xmlns="http://schemas.openxmlformats.org/spreadsheetml/2006/main" count="153" uniqueCount="67">
  <si>
    <t>Module :</t>
  </si>
  <si>
    <t>Classe :</t>
  </si>
  <si>
    <t>Lieu :</t>
  </si>
  <si>
    <t>Tâche</t>
  </si>
  <si>
    <t>Prénom - nom :</t>
  </si>
  <si>
    <t>Tâches - objectifs</t>
  </si>
  <si>
    <t xml:space="preserve"> </t>
  </si>
  <si>
    <r>
      <t>Explications:</t>
    </r>
    <r>
      <rPr>
        <b/>
        <sz val="10"/>
        <rFont val="Century Gothic"/>
        <family val="2"/>
        <scheme val="minor"/>
      </rPr>
      <t xml:space="preserve"> qu'est-ce qui se fait et comment ?</t>
    </r>
  </si>
  <si>
    <t>Date Fin:</t>
  </si>
  <si>
    <t>Date Début :</t>
  </si>
  <si>
    <t>Nombre de semaines:</t>
  </si>
  <si>
    <t>Nombre de Périodes/Semaine :</t>
  </si>
  <si>
    <t>Nombre de 1/4 heure/Période:</t>
  </si>
  <si>
    <t>Liens, références, …</t>
  </si>
  <si>
    <t>Semaine</t>
  </si>
  <si>
    <t>Durée
[1/4 h.]</t>
  </si>
  <si>
    <t>Total planifié</t>
  </si>
  <si>
    <t>Total réalisé</t>
  </si>
  <si>
    <t>Nb 1/4 heure</t>
  </si>
  <si>
    <t>Liste des tâches</t>
  </si>
  <si>
    <t>Tâche obligatoire:</t>
  </si>
  <si>
    <t>Absence - Imprévus</t>
  </si>
  <si>
    <t>Total semaine</t>
  </si>
  <si>
    <t>Début:</t>
  </si>
  <si>
    <t>P_FUN</t>
  </si>
  <si>
    <t>Matias Denis</t>
  </si>
  <si>
    <t>FID2</t>
  </si>
  <si>
    <t>ETML - Vennes</t>
  </si>
  <si>
    <t>Max. 9</t>
  </si>
  <si>
    <t>STOP</t>
  </si>
  <si>
    <t>Max. 15</t>
  </si>
  <si>
    <t>Choix du projet et prise de connaissance du CdC</t>
  </si>
  <si>
    <t>Rédaction ébauche rapport de projet</t>
  </si>
  <si>
    <t>Renseignement sur le bruteforce et le pentesting pour l'authentification</t>
  </si>
  <si>
    <t>Création d'un schéma du fonctionnement du projet.</t>
  </si>
  <si>
    <t>Création d'un schéma du fonctionnement du programme.</t>
  </si>
  <si>
    <t>Création d'un schéma représentant la logique du programme sur draw.io. A améliorer.</t>
  </si>
  <si>
    <t>https://app.diagrams.net/</t>
  </si>
  <si>
    <t>https://www.fortinet.com/fr/resources/cyberglossary/brute-force-attack
https://fr.wikipedia.org/wiki/Test_d%27intrusion
https://fr.wikipedia.org/wiki/Hacking_%C3%A9thique
https://fr.wikipedia.org/wiki/Breach_and_attack_simulation
https://www.youtube.com/watch?v=ZCuStkgjwM8
https://www.youtube.com/watch?v=Mu1jlNSKytU
https://chatgpt.com/share/691b1fbb-2888-8009-9e51-fc7f83414277</t>
  </si>
  <si>
    <t>Exemple code python</t>
  </si>
  <si>
    <t>Exemple de code python trouvé dans une vidéo YouTube, il va être testé.</t>
  </si>
  <si>
    <t>https://www.youtube.com/shorts/26giQUUh0Hs</t>
  </si>
  <si>
    <t>Test code</t>
  </si>
  <si>
    <t xml:space="preserve">Nouveau code python </t>
  </si>
  <si>
    <t>Détermination des nouveaux objectifs du projet avec Mr. Melly</t>
  </si>
  <si>
    <t>Après avoir été témoin de la vitesse du code, il a été décidé avec Mr. Melly de définir des objectifs plus précis: choisir une cible définie (db, site web, http, ftp, ssh) pour voir la différence de vitesse lorsque l'on rajoute les hash car on doit le calculer, le comparer, etc... 
Mais également de voir si un mot de passe est trouvable rapidement avec un nombre de caractère élevé.</t>
  </si>
  <si>
    <t>Recherche en ligne quant aux nouveaux objectifs</t>
  </si>
  <si>
    <t>Jeudi 27.11</t>
  </si>
  <si>
    <t>Tâche en cours, recherche de documentation en ligne pour les cibles: base de données, site web, etc…</t>
  </si>
  <si>
    <t>Rédaction du rapport de projet</t>
  </si>
  <si>
    <t>Adaptation du schéma</t>
  </si>
  <si>
    <t>Après réflexion et conseils du professeur, le schéma doit être adapté car il n'est pas assez explicite. Tâche en cours.</t>
  </si>
  <si>
    <t>Fin de la rédaction du chapitre Explications du code avec beaucoup de détails sur les différentes parties du code. Tâche terminée.</t>
  </si>
  <si>
    <t>Rédaction du chapitre Explications du code avec beaucoup de détails sur les différentes parties du code. Tâche en cours.</t>
  </si>
  <si>
    <t>Le nouveau code lit donc le fichier wordlist.txt et renvoie une liste de mots de passe, le code s'arrête lorsque le mot de passe est trouvé et un message est affiché avec les données de l'utilisateur, le nombre de tentative et le temps écoulé. En moyenne il fait une tentative toutes les 0.00014 secondes. En partant du principe que l'affichage des messages prend du temps, on pourrait en gagner en les retirant. En effet après avoir enlever l'affichage des messages, on passe de une tentative chaque 0.00014 secondes à une tentative toutes les 0.000000048143 secondes. Tâche terminée.</t>
  </si>
  <si>
    <t>Le code python trouvé dans la vidéo youtube n'est pas du bruteforce car il retourne juste le temps qu'il met à trouver une combinaison de lettres qu'il fait. Il a été demandé à ChatGPT ce qu'il faisait et ce dernier a proposé une amélioration qui fait réellement du bruteforce avec une wordlist.txt. Tâche terminée.</t>
  </si>
  <si>
    <t>Lecture de plein de pages wikipédia, d'articles sur le sujet trouvés en ligne. Visionnage d'une vidéo pour comprendre les grands principes du pentesting. Tâche terminée.</t>
  </si>
  <si>
    <t>Rédaction de la page de garde, des différentes parties demandées, de la table des matières. Tâche terminée.</t>
  </si>
  <si>
    <t>Il a été dur de choisir mais finalement c'est le projet Bruteforce qui a été choisi. Le cahier des charges a été lu et compris. Tâche terminée.</t>
  </si>
  <si>
    <t>Mise en place d'un serveur FTP avec Docker</t>
  </si>
  <si>
    <t>Connexion FTP depuis Python</t>
  </si>
  <si>
    <t>Bruteforce FTP réel</t>
  </si>
  <si>
    <t xml:space="preserve">Tests </t>
  </si>
  <si>
    <t>Installation de Docker et création du fichier docker-compose.yml, déploiement du serveur FTP local, vérification du serveur FTP via FileZilla, validation que le mot de pas réel fonctionne bien sur FTP. Tâche terminée.</t>
  </si>
  <si>
    <t>Création du script test_ftp.py pour valider une connexion FTP Python -&gt; Docker, tests de connexion FTP (auth OK), intégration d'une fonction de test FTP dans le bruteforce (connexion réelle), sécurisation du script (blocage sur 127.0.0.1 uniquement). Tâche terminée.</t>
  </si>
  <si>
    <t>Modification du script principal pour utiliser le test FTP réel, tests de bruteforce avec wordlist simple, validation de la détection correcte du mot de passe via FTP, mesure du temps et du nombre de tentatives. Tâche terminée.</t>
  </si>
  <si>
    <t>Tests du programme avec des positions différentes du mot de passe dans la wordlist et calcul du temps. D'autres tests à faire afin d'optimiser le programme. Tâche en cours.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</si>
</sst>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7" x14ac:knownFonts="1">
    <font>
      <sz val="10"/>
      <name val="Century Gothic"/>
      <family val="2"/>
      <scheme val="minor"/>
    </font>
    <font>
      <u/>
      <sz val="10"/>
      <color indexed="12"/>
      <name val="Arial"/>
      <family val="2"/>
    </font>
    <font>
      <sz val="14"/>
      <name val="Verdana"/>
      <family val="2"/>
    </font>
    <font>
      <b/>
      <sz val="14"/>
      <name val="Verdana"/>
      <family val="2"/>
    </font>
    <font>
      <sz val="10"/>
      <name val="Arial"/>
      <family val="2"/>
    </font>
    <font>
      <sz val="10"/>
      <color theme="1"/>
      <name val="Century Gothic"/>
      <family val="2"/>
      <scheme val="minor"/>
    </font>
    <font>
      <b/>
      <sz val="12"/>
      <name val="Century Gothic"/>
      <family val="2"/>
      <scheme val="minor"/>
    </font>
    <font>
      <b/>
      <sz val="14"/>
      <name val="Century Gothic"/>
      <family val="2"/>
      <scheme val="minor"/>
    </font>
    <font>
      <sz val="10"/>
      <name val="Century Gothic"/>
      <family val="2"/>
      <scheme val="minor"/>
    </font>
    <font>
      <b/>
      <sz val="10"/>
      <name val="Century Gothic"/>
      <family val="2"/>
      <scheme val="minor"/>
    </font>
    <font>
      <sz val="9"/>
      <name val="Century Gothic"/>
      <family val="2"/>
      <scheme val="minor"/>
    </font>
    <font>
      <b/>
      <sz val="9"/>
      <name val="Century Gothic"/>
      <family val="2"/>
      <scheme val="minor"/>
    </font>
    <font>
      <i/>
      <sz val="10"/>
      <name val="Arial"/>
      <family val="2"/>
    </font>
    <font>
      <sz val="10"/>
      <color rgb="FFFF0000"/>
      <name val="Century Gothic"/>
      <family val="2"/>
      <scheme val="minor"/>
    </font>
    <font>
      <b/>
      <sz val="16"/>
      <name val="Century Gothic"/>
      <family val="2"/>
      <scheme val="minor"/>
    </font>
    <font>
      <sz val="16"/>
      <name val="Century Gothic"/>
      <family val="2"/>
      <scheme val="minor"/>
    </font>
    <font>
      <sz val="10"/>
      <color theme="0"/>
      <name val="Century Gothic"/>
      <family val="2"/>
      <scheme val="minor"/>
    </font>
  </fonts>
  <fills count="14">
    <fill>
      <patternFill patternType="none"/>
    </fill>
    <fill>
      <patternFill patternType="gray125"/>
    </fill>
    <fill>
      <patternFill patternType="solid">
        <fgColor theme="3" tint="0.79998168889431442"/>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theme="4"/>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0"/>
        <bgColor indexed="64"/>
      </patternFill>
    </fill>
    <fill>
      <patternFill patternType="solid">
        <fgColor theme="6" tint="-0.249977111117893"/>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5" tint="0.79998168889431442"/>
        <bgColor indexed="64"/>
      </patternFill>
    </fill>
  </fills>
  <borders count="34">
    <border>
      <left/>
      <right/>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dashed">
        <color indexed="64"/>
      </bottom>
      <diagonal/>
    </border>
    <border>
      <left style="medium">
        <color indexed="64"/>
      </left>
      <right/>
      <top style="dashed">
        <color indexed="64"/>
      </top>
      <bottom style="dashed">
        <color indexed="64"/>
      </bottom>
      <diagonal/>
    </border>
    <border>
      <left style="medium">
        <color indexed="64"/>
      </left>
      <right/>
      <top style="dashed">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medium">
        <color indexed="64"/>
      </right>
      <top style="dashed">
        <color indexed="64"/>
      </top>
      <bottom style="medium">
        <color indexed="64"/>
      </bottom>
      <diagonal/>
    </border>
    <border>
      <left style="medium">
        <color indexed="64"/>
      </left>
      <right/>
      <top/>
      <bottom style="dashed">
        <color indexed="64"/>
      </bottom>
      <diagonal/>
    </border>
    <border>
      <left style="thin">
        <color indexed="64"/>
      </left>
      <right style="medium">
        <color indexed="64"/>
      </right>
      <top/>
      <bottom style="dashed">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thin">
        <color indexed="64"/>
      </bottom>
      <diagonal/>
    </border>
    <border>
      <left style="medium">
        <color indexed="64"/>
      </left>
      <right style="medium">
        <color indexed="64"/>
      </right>
      <top style="thin">
        <color indexed="64"/>
      </top>
      <bottom style="hair">
        <color indexed="64"/>
      </bottom>
      <diagonal/>
    </border>
    <border>
      <left style="medium">
        <color indexed="64"/>
      </left>
      <right/>
      <top style="thin">
        <color indexed="64"/>
      </top>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dashed">
        <color indexed="64"/>
      </top>
      <bottom/>
      <diagonal/>
    </border>
  </borders>
  <cellStyleXfs count="4">
    <xf numFmtId="0" fontId="0" fillId="0" borderId="0"/>
    <xf numFmtId="0" fontId="1" fillId="0" borderId="0" applyNumberFormat="0" applyFill="0" applyBorder="0" applyAlignment="0" applyProtection="0">
      <alignment vertical="top"/>
      <protection locked="0"/>
    </xf>
    <xf numFmtId="0" fontId="8" fillId="0" borderId="0"/>
    <xf numFmtId="0" fontId="5" fillId="0" borderId="0"/>
  </cellStyleXfs>
  <cellXfs count="102">
    <xf numFmtId="0" fontId="0" fillId="0" borderId="0" xfId="0"/>
    <xf numFmtId="0" fontId="8" fillId="0" borderId="2" xfId="1" applyFont="1" applyFill="1" applyBorder="1" applyAlignment="1" applyProtection="1">
      <alignment horizontal="center" vertical="center" wrapText="1"/>
      <protection locked="0"/>
    </xf>
    <xf numFmtId="0" fontId="8" fillId="0" borderId="2" xfId="0" applyFont="1" applyBorder="1" applyAlignment="1" applyProtection="1">
      <alignment horizontal="center" vertical="center" wrapText="1"/>
      <protection locked="0"/>
    </xf>
    <xf numFmtId="0" fontId="8" fillId="0" borderId="3" xfId="0"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0" fontId="8" fillId="0" borderId="1" xfId="1" applyFont="1" applyFill="1" applyBorder="1" applyAlignment="1" applyProtection="1">
      <alignment horizontal="center" vertical="center" wrapText="1"/>
      <protection locked="0"/>
    </xf>
    <xf numFmtId="0" fontId="6" fillId="2" borderId="14" xfId="0" applyFont="1" applyFill="1" applyBorder="1" applyAlignment="1">
      <alignment horizontal="center" vertical="center"/>
    </xf>
    <xf numFmtId="0" fontId="7" fillId="2" borderId="12" xfId="0" quotePrefix="1" applyFont="1" applyFill="1" applyBorder="1" applyAlignment="1">
      <alignment horizontal="centerContinuous" vertical="center"/>
    </xf>
    <xf numFmtId="0" fontId="6" fillId="3" borderId="15" xfId="0" applyFont="1" applyFill="1" applyBorder="1" applyAlignment="1">
      <alignment horizontal="center" vertical="center"/>
    </xf>
    <xf numFmtId="0" fontId="8" fillId="0" borderId="1" xfId="0" applyFont="1" applyBorder="1" applyAlignment="1" applyProtection="1">
      <alignment horizontal="left" vertical="top" wrapText="1"/>
      <protection locked="0"/>
    </xf>
    <xf numFmtId="0" fontId="8" fillId="0" borderId="2" xfId="0" applyFont="1" applyBorder="1" applyAlignment="1" applyProtection="1">
      <alignment horizontal="left" vertical="top" wrapText="1"/>
      <protection locked="0"/>
    </xf>
    <xf numFmtId="0" fontId="8" fillId="0" borderId="3" xfId="0" applyFont="1" applyBorder="1" applyAlignment="1" applyProtection="1">
      <alignment horizontal="left" vertical="top" wrapText="1"/>
      <protection locked="0"/>
    </xf>
    <xf numFmtId="0" fontId="8" fillId="4" borderId="15" xfId="0" applyFont="1" applyFill="1" applyBorder="1" applyAlignment="1">
      <alignment horizontal="center" vertical="center" wrapText="1"/>
    </xf>
    <xf numFmtId="0" fontId="8" fillId="4" borderId="13" xfId="0" applyFont="1" applyFill="1" applyBorder="1" applyAlignment="1">
      <alignment horizontal="left" vertical="top" wrapText="1"/>
    </xf>
    <xf numFmtId="0" fontId="10" fillId="5" borderId="0" xfId="0" applyFont="1" applyFill="1" applyAlignment="1">
      <alignment horizontal="center"/>
    </xf>
    <xf numFmtId="0" fontId="3" fillId="6" borderId="15" xfId="0" applyFont="1" applyFill="1" applyBorder="1" applyAlignment="1">
      <alignment horizontal="center" vertical="center" wrapText="1"/>
    </xf>
    <xf numFmtId="1" fontId="2" fillId="7" borderId="27" xfId="0" applyNumberFormat="1" applyFont="1" applyFill="1" applyBorder="1" applyAlignment="1">
      <alignment horizontal="center" vertical="center"/>
    </xf>
    <xf numFmtId="0" fontId="6" fillId="2" borderId="14" xfId="0" applyFont="1" applyFill="1" applyBorder="1" applyAlignment="1">
      <alignment horizontal="right" vertical="center"/>
    </xf>
    <xf numFmtId="0" fontId="11" fillId="3" borderId="15" xfId="0" applyFont="1" applyFill="1" applyBorder="1" applyAlignment="1">
      <alignment horizontal="center" vertical="center" wrapText="1"/>
    </xf>
    <xf numFmtId="0" fontId="0" fillId="9" borderId="9" xfId="0" applyFill="1" applyBorder="1"/>
    <xf numFmtId="0" fontId="0" fillId="9" borderId="0" xfId="0" applyFill="1"/>
    <xf numFmtId="0" fontId="0" fillId="9" borderId="5" xfId="0" applyFill="1" applyBorder="1"/>
    <xf numFmtId="1" fontId="2" fillId="7" borderId="28" xfId="0" applyNumberFormat="1" applyFont="1" applyFill="1" applyBorder="1" applyAlignment="1">
      <alignment horizontal="center" vertical="center"/>
    </xf>
    <xf numFmtId="0" fontId="3" fillId="6" borderId="15" xfId="0" applyFont="1" applyFill="1" applyBorder="1" applyAlignment="1">
      <alignment horizontal="center" vertical="center"/>
    </xf>
    <xf numFmtId="0" fontId="12" fillId="0" borderId="0" xfId="0" applyFont="1"/>
    <xf numFmtId="0" fontId="3" fillId="10" borderId="30" xfId="0" applyFont="1" applyFill="1" applyBorder="1" applyAlignment="1">
      <alignment horizontal="right" vertical="center" wrapText="1" indent="1"/>
    </xf>
    <xf numFmtId="0" fontId="3" fillId="10" borderId="31" xfId="0" applyFont="1" applyFill="1" applyBorder="1" applyAlignment="1">
      <alignment horizontal="right" vertical="center" indent="1"/>
    </xf>
    <xf numFmtId="1" fontId="3" fillId="10" borderId="29" xfId="0" applyNumberFormat="1" applyFont="1" applyFill="1" applyBorder="1" applyAlignment="1">
      <alignment horizontal="center" vertical="center"/>
    </xf>
    <xf numFmtId="1" fontId="3" fillId="10" borderId="32" xfId="0" applyNumberFormat="1" applyFont="1" applyFill="1" applyBorder="1" applyAlignment="1">
      <alignment horizontal="center" vertical="center"/>
    </xf>
    <xf numFmtId="0" fontId="0" fillId="9" borderId="8" xfId="0" applyFill="1" applyBorder="1"/>
    <xf numFmtId="0" fontId="6" fillId="9" borderId="0" xfId="0" applyFont="1" applyFill="1" applyAlignment="1">
      <alignment horizontal="center" vertical="center"/>
    </xf>
    <xf numFmtId="0" fontId="7" fillId="9" borderId="0" xfId="0" quotePrefix="1" applyFont="1" applyFill="1" applyAlignment="1">
      <alignment horizontal="centerContinuous" vertical="center"/>
    </xf>
    <xf numFmtId="0" fontId="6" fillId="9" borderId="0" xfId="0" applyFont="1" applyFill="1" applyAlignment="1">
      <alignment horizontal="right" vertical="center"/>
    </xf>
    <xf numFmtId="0" fontId="7" fillId="9" borderId="0" xfId="0" applyFont="1" applyFill="1" applyAlignment="1">
      <alignment horizontal="left" vertical="center"/>
    </xf>
    <xf numFmtId="0" fontId="11" fillId="9" borderId="0" xfId="0" applyFont="1" applyFill="1" applyAlignment="1">
      <alignment horizontal="center" vertical="center" wrapText="1"/>
    </xf>
    <xf numFmtId="0" fontId="8" fillId="9" borderId="0" xfId="1" applyFont="1" applyFill="1" applyBorder="1" applyAlignment="1" applyProtection="1">
      <alignment horizontal="center" vertical="center" wrapText="1"/>
      <protection locked="0"/>
    </xf>
    <xf numFmtId="0" fontId="8" fillId="9" borderId="0" xfId="0" applyFont="1" applyFill="1" applyAlignment="1" applyProtection="1">
      <alignment horizontal="center" vertical="center" wrapText="1"/>
      <protection locked="0"/>
    </xf>
    <xf numFmtId="0" fontId="8" fillId="9" borderId="0" xfId="0" applyFont="1" applyFill="1" applyAlignment="1" applyProtection="1">
      <alignment horizontal="left" vertical="top" wrapText="1"/>
      <protection locked="0"/>
    </xf>
    <xf numFmtId="0" fontId="8" fillId="9" borderId="0" xfId="0" applyFont="1" applyFill="1" applyAlignment="1">
      <alignment horizontal="center" vertical="center" wrapText="1"/>
    </xf>
    <xf numFmtId="0" fontId="8" fillId="9" borderId="0" xfId="0" applyFont="1" applyFill="1" applyAlignment="1">
      <alignment horizontal="left" vertical="top" wrapText="1"/>
    </xf>
    <xf numFmtId="0" fontId="10" fillId="9" borderId="0" xfId="0" applyFont="1" applyFill="1" applyAlignment="1">
      <alignment horizontal="center"/>
    </xf>
    <xf numFmtId="0" fontId="4" fillId="9" borderId="0" xfId="0" applyFont="1" applyFill="1"/>
    <xf numFmtId="0" fontId="6" fillId="13" borderId="14" xfId="0" applyFont="1" applyFill="1" applyBorder="1" applyAlignment="1">
      <alignment horizontal="center" vertical="center"/>
    </xf>
    <xf numFmtId="0" fontId="7" fillId="13" borderId="12" xfId="0" quotePrefix="1" applyFont="1" applyFill="1" applyBorder="1" applyAlignment="1">
      <alignment horizontal="centerContinuous" vertical="center"/>
    </xf>
    <xf numFmtId="0" fontId="6" fillId="13" borderId="14" xfId="0" applyFont="1" applyFill="1" applyBorder="1" applyAlignment="1">
      <alignment horizontal="right" vertical="center"/>
    </xf>
    <xf numFmtId="0" fontId="6" fillId="12" borderId="15" xfId="0" applyFont="1" applyFill="1" applyBorder="1" applyAlignment="1">
      <alignment horizontal="center" vertical="center"/>
    </xf>
    <xf numFmtId="0" fontId="11" fillId="12" borderId="15" xfId="0" applyFont="1" applyFill="1" applyBorder="1" applyAlignment="1">
      <alignment horizontal="center" vertical="center" wrapText="1"/>
    </xf>
    <xf numFmtId="0" fontId="8" fillId="12" borderId="15" xfId="0" applyFont="1" applyFill="1" applyBorder="1" applyAlignment="1">
      <alignment horizontal="center" vertical="center" wrapText="1"/>
    </xf>
    <xf numFmtId="0" fontId="8" fillId="12" borderId="13" xfId="0" applyFont="1" applyFill="1" applyBorder="1" applyAlignment="1">
      <alignment horizontal="left" vertical="top" wrapText="1"/>
    </xf>
    <xf numFmtId="0" fontId="10" fillId="11" borderId="0" xfId="0" applyFont="1" applyFill="1" applyAlignment="1">
      <alignment horizontal="center"/>
    </xf>
    <xf numFmtId="0" fontId="8" fillId="0" borderId="33" xfId="0" applyFont="1" applyBorder="1" applyAlignment="1" applyProtection="1">
      <alignment horizontal="center" vertical="center" wrapText="1"/>
      <protection locked="0"/>
    </xf>
    <xf numFmtId="0" fontId="8" fillId="0" borderId="33" xfId="0" applyFont="1" applyBorder="1" applyAlignment="1" applyProtection="1">
      <alignment horizontal="left" vertical="top" wrapText="1"/>
      <protection locked="0"/>
    </xf>
    <xf numFmtId="0" fontId="0" fillId="9" borderId="0" xfId="0" applyFill="1" applyProtection="1">
      <protection locked="0"/>
    </xf>
    <xf numFmtId="164" fontId="7" fillId="13" borderId="13" xfId="0" applyNumberFormat="1" applyFont="1" applyFill="1" applyBorder="1" applyAlignment="1" applyProtection="1">
      <alignment horizontal="left" vertical="center"/>
      <protection locked="0"/>
    </xf>
    <xf numFmtId="0" fontId="13" fillId="9" borderId="6" xfId="0" applyFont="1" applyFill="1" applyBorder="1"/>
    <xf numFmtId="0" fontId="8" fillId="9" borderId="4" xfId="0" applyFont="1" applyFill="1" applyBorder="1"/>
    <xf numFmtId="0" fontId="8" fillId="9" borderId="7" xfId="0" applyFont="1" applyFill="1" applyBorder="1"/>
    <xf numFmtId="0" fontId="8" fillId="0" borderId="0" xfId="0" applyFont="1"/>
    <xf numFmtId="0" fontId="13" fillId="9" borderId="8" xfId="0" applyFont="1" applyFill="1" applyBorder="1"/>
    <xf numFmtId="0" fontId="8" fillId="9" borderId="0" xfId="0" applyFont="1" applyFill="1"/>
    <xf numFmtId="0" fontId="8" fillId="9" borderId="9" xfId="0" applyFont="1" applyFill="1" applyBorder="1"/>
    <xf numFmtId="0" fontId="14" fillId="6" borderId="16" xfId="0" applyFont="1" applyFill="1" applyBorder="1" applyAlignment="1">
      <alignment vertical="center"/>
    </xf>
    <xf numFmtId="0" fontId="15" fillId="8" borderId="21" xfId="0" applyFont="1" applyFill="1" applyBorder="1" applyAlignment="1" applyProtection="1">
      <alignment horizontal="left" vertical="center" indent="2"/>
      <protection locked="0"/>
    </xf>
    <xf numFmtId="0" fontId="14" fillId="6" borderId="17" xfId="0" applyFont="1" applyFill="1" applyBorder="1" applyAlignment="1">
      <alignment vertical="center"/>
    </xf>
    <xf numFmtId="0" fontId="15" fillId="8" borderId="22" xfId="0" applyFont="1" applyFill="1" applyBorder="1" applyAlignment="1" applyProtection="1">
      <alignment horizontal="left" vertical="center" indent="2"/>
      <protection locked="0"/>
    </xf>
    <xf numFmtId="0" fontId="14" fillId="6" borderId="18" xfId="0" applyFont="1" applyFill="1" applyBorder="1" applyAlignment="1">
      <alignment vertical="center"/>
    </xf>
    <xf numFmtId="0" fontId="15" fillId="8" borderId="23" xfId="0" applyFont="1" applyFill="1" applyBorder="1" applyAlignment="1" applyProtection="1">
      <alignment horizontal="left" vertical="center" indent="2"/>
      <protection locked="0"/>
    </xf>
    <xf numFmtId="164" fontId="15" fillId="8" borderId="21" xfId="0" applyNumberFormat="1" applyFont="1" applyFill="1" applyBorder="1" applyAlignment="1" applyProtection="1">
      <alignment horizontal="left" vertical="center" indent="2"/>
      <protection locked="0"/>
    </xf>
    <xf numFmtId="0" fontId="14" fillId="6" borderId="24" xfId="0" applyFont="1" applyFill="1" applyBorder="1" applyAlignment="1">
      <alignment vertical="center"/>
    </xf>
    <xf numFmtId="164" fontId="15" fillId="8" borderId="25" xfId="0" applyNumberFormat="1" applyFont="1" applyFill="1" applyBorder="1" applyAlignment="1" applyProtection="1">
      <alignment horizontal="left" vertical="center" indent="2"/>
      <protection locked="0"/>
    </xf>
    <xf numFmtId="1" fontId="15" fillId="8" borderId="25" xfId="0" applyNumberFormat="1" applyFont="1" applyFill="1" applyBorder="1" applyAlignment="1" applyProtection="1">
      <alignment horizontal="left" vertical="center" indent="2"/>
      <protection locked="0"/>
    </xf>
    <xf numFmtId="1" fontId="15" fillId="8" borderId="22" xfId="0" applyNumberFormat="1" applyFont="1" applyFill="1" applyBorder="1" applyAlignment="1" applyProtection="1">
      <alignment horizontal="left" vertical="center" indent="2"/>
      <protection locked="0"/>
    </xf>
    <xf numFmtId="0" fontId="15" fillId="6" borderId="10" xfId="0" applyFont="1" applyFill="1" applyBorder="1" applyAlignment="1">
      <alignment vertical="center"/>
    </xf>
    <xf numFmtId="0" fontId="15" fillId="8" borderId="26" xfId="0" applyFont="1" applyFill="1" applyBorder="1" applyAlignment="1">
      <alignment vertical="center"/>
    </xf>
    <xf numFmtId="0" fontId="13" fillId="9" borderId="10" xfId="0" applyFont="1" applyFill="1" applyBorder="1"/>
    <xf numFmtId="0" fontId="8" fillId="9" borderId="5" xfId="0" applyFont="1" applyFill="1" applyBorder="1"/>
    <xf numFmtId="0" fontId="8" fillId="9" borderId="11" xfId="0" applyFont="1" applyFill="1" applyBorder="1"/>
    <xf numFmtId="0" fontId="8" fillId="9" borderId="6" xfId="0" applyFont="1" applyFill="1" applyBorder="1"/>
    <xf numFmtId="0" fontId="8" fillId="9" borderId="8" xfId="0" applyFont="1" applyFill="1" applyBorder="1"/>
    <xf numFmtId="0" fontId="14" fillId="6" borderId="24" xfId="0" applyFont="1" applyFill="1" applyBorder="1" applyAlignment="1">
      <alignment horizontal="right" vertical="center"/>
    </xf>
    <xf numFmtId="164" fontId="15" fillId="6" borderId="25" xfId="0" applyNumberFormat="1" applyFont="1" applyFill="1" applyBorder="1" applyAlignment="1">
      <alignment horizontal="left" vertical="center" indent="2"/>
    </xf>
    <xf numFmtId="0" fontId="14" fillId="6" borderId="17" xfId="0" applyFont="1" applyFill="1" applyBorder="1" applyAlignment="1">
      <alignment horizontal="right" vertical="center"/>
    </xf>
    <xf numFmtId="0" fontId="14" fillId="6" borderId="8" xfId="0" applyFont="1" applyFill="1" applyBorder="1" applyAlignment="1">
      <alignment horizontal="right" vertical="center"/>
    </xf>
    <xf numFmtId="1" fontId="15" fillId="8" borderId="23" xfId="0" applyNumberFormat="1" applyFont="1" applyFill="1" applyBorder="1" applyAlignment="1" applyProtection="1">
      <alignment horizontal="left" vertical="center" indent="2"/>
      <protection locked="0"/>
    </xf>
    <xf numFmtId="0" fontId="8" fillId="9" borderId="10" xfId="0" applyFont="1" applyFill="1" applyBorder="1"/>
    <xf numFmtId="0" fontId="7" fillId="2" borderId="13" xfId="0" applyFont="1" applyFill="1" applyBorder="1" applyAlignment="1" applyProtection="1">
      <alignment horizontal="left" vertical="center"/>
      <protection locked="0"/>
    </xf>
    <xf numFmtId="0" fontId="16" fillId="9" borderId="0" xfId="0" applyFont="1" applyFill="1"/>
    <xf numFmtId="0" fontId="9" fillId="12" borderId="13" xfId="0" applyFont="1" applyFill="1" applyBorder="1" applyAlignment="1">
      <alignment horizontal="left" vertical="top" wrapText="1"/>
    </xf>
    <xf numFmtId="0" fontId="0" fillId="0" borderId="1"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1" fillId="0" borderId="1" xfId="1" applyFill="1" applyBorder="1" applyAlignment="1" applyProtection="1">
      <alignment horizontal="left" vertical="top" wrapText="1"/>
      <protection locked="0"/>
    </xf>
    <xf numFmtId="0" fontId="1" fillId="0" borderId="0" xfId="1" applyAlignment="1" applyProtection="1">
      <alignment wrapText="1"/>
    </xf>
    <xf numFmtId="0" fontId="9" fillId="0" borderId="2" xfId="0" applyFont="1" applyBorder="1" applyAlignment="1" applyProtection="1">
      <alignment horizontal="left" vertical="top" wrapText="1"/>
      <protection locked="0"/>
    </xf>
    <xf numFmtId="0" fontId="1" fillId="0" borderId="2" xfId="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0" fillId="0" borderId="2" xfId="0" applyFont="1" applyBorder="1" applyAlignment="1" applyProtection="1">
      <alignment horizontal="left" vertical="top" wrapText="1"/>
      <protection locked="0"/>
    </xf>
    <xf numFmtId="0" fontId="6" fillId="9" borderId="20" xfId="0" applyFont="1" applyFill="1" applyBorder="1" applyAlignment="1">
      <alignment horizontal="center" vertical="center"/>
    </xf>
    <xf numFmtId="0" fontId="11" fillId="9" borderId="20" xfId="0" applyFont="1" applyFill="1" applyBorder="1" applyAlignment="1">
      <alignment horizontal="center" vertical="center" wrapText="1"/>
    </xf>
    <xf numFmtId="0" fontId="14" fillId="6" borderId="14" xfId="0" applyFont="1" applyFill="1" applyBorder="1" applyAlignment="1">
      <alignment horizontal="center" vertical="center"/>
    </xf>
    <xf numFmtId="0" fontId="14" fillId="6" borderId="13" xfId="0" applyFont="1" applyFill="1" applyBorder="1" applyAlignment="1">
      <alignment horizontal="center" vertical="center"/>
    </xf>
    <xf numFmtId="0" fontId="2" fillId="7" borderId="20" xfId="0" applyFont="1" applyFill="1" applyBorder="1" applyAlignment="1">
      <alignment horizontal="left" vertical="center" indent="1"/>
    </xf>
    <xf numFmtId="0" fontId="0" fillId="7" borderId="19" xfId="0" applyFill="1" applyBorder="1"/>
  </cellXfs>
  <cellStyles count="4">
    <cellStyle name="Lien hypertexte" xfId="1" builtinId="8"/>
    <cellStyle name="Normal" xfId="0" builtinId="0" customBuiltin="1"/>
    <cellStyle name="Normal 2" xfId="2" xr:uid="{00000000-0005-0000-0000-000002000000}"/>
    <cellStyle name="Normal 2 2" xfId="3" xr:uid="{00000000-0005-0000-0000-000003000000}"/>
  </cellStyles>
  <dxfs count="0"/>
  <tableStyles count="0" defaultTableStyle="TableStyleMedium9" defaultPivotStyle="PivotStyleLight16"/>
  <colors>
    <mruColors>
      <color rgb="FF28663D"/>
      <color rgb="FF1B952A"/>
      <color rgb="FF20B2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drawings/_rels/vmlDrawing1.v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image" Target="../media/image3.emf"/><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xdr:colOff>
          <xdr:row>1</xdr:row>
          <xdr:rowOff>161925</xdr:rowOff>
        </xdr:from>
        <xdr:to>
          <xdr:col>6</xdr:col>
          <xdr:colOff>76200</xdr:colOff>
          <xdr:row>3</xdr:row>
          <xdr:rowOff>200025</xdr:rowOff>
        </xdr:to>
        <xdr:sp macro="" textlink="">
          <xdr:nvSpPr>
            <xdr:cNvPr id="15362" name="btnCreateDiagram" hidden="1">
              <a:extLst>
                <a:ext uri="{63B3BB69-23CF-44E3-9099-C40C66FF867C}">
                  <a14:compatExt spid="_x0000_s15362"/>
                </a:ext>
                <a:ext uri="{FF2B5EF4-FFF2-40B4-BE49-F238E27FC236}">
                  <a16:creationId xmlns:a16="http://schemas.microsoft.com/office/drawing/2014/main" id="{00000000-0008-0000-0000-000002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5</xdr:row>
          <xdr:rowOff>9525</xdr:rowOff>
        </xdr:from>
        <xdr:to>
          <xdr:col>6</xdr:col>
          <xdr:colOff>95250</xdr:colOff>
          <xdr:row>7</xdr:row>
          <xdr:rowOff>47625</xdr:rowOff>
        </xdr:to>
        <xdr:sp macro="" textlink="">
          <xdr:nvSpPr>
            <xdr:cNvPr id="15364" name="btnCreatePlanning" hidden="1">
              <a:extLst>
                <a:ext uri="{63B3BB69-23CF-44E3-9099-C40C66FF867C}">
                  <a14:compatExt spid="_x0000_s15364"/>
                </a:ext>
                <a:ext uri="{FF2B5EF4-FFF2-40B4-BE49-F238E27FC236}">
                  <a16:creationId xmlns:a16="http://schemas.microsoft.com/office/drawing/2014/main" id="{00000000-0008-0000-0000-000004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8</xdr:row>
          <xdr:rowOff>190500</xdr:rowOff>
        </xdr:from>
        <xdr:to>
          <xdr:col>6</xdr:col>
          <xdr:colOff>114300</xdr:colOff>
          <xdr:row>10</xdr:row>
          <xdr:rowOff>152400</xdr:rowOff>
        </xdr:to>
        <xdr:sp macro="" textlink="">
          <xdr:nvSpPr>
            <xdr:cNvPr id="15365" name="btnCreateWorkSheet" hidden="1">
              <a:extLst>
                <a:ext uri="{63B3BB69-23CF-44E3-9099-C40C66FF867C}">
                  <a14:compatExt spid="_x0000_s15365"/>
                </a:ext>
                <a:ext uri="{FF2B5EF4-FFF2-40B4-BE49-F238E27FC236}">
                  <a16:creationId xmlns:a16="http://schemas.microsoft.com/office/drawing/2014/main" id="{00000000-0008-0000-0000-000005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590550</xdr:colOff>
          <xdr:row>0</xdr:row>
          <xdr:rowOff>180975</xdr:rowOff>
        </xdr:from>
        <xdr:to>
          <xdr:col>7</xdr:col>
          <xdr:colOff>257175</xdr:colOff>
          <xdr:row>2</xdr:row>
          <xdr:rowOff>152400</xdr:rowOff>
        </xdr:to>
        <xdr:sp macro="" textlink="">
          <xdr:nvSpPr>
            <xdr:cNvPr id="18438" name="btnImportPlanification" hidden="1">
              <a:extLst>
                <a:ext uri="{63B3BB69-23CF-44E3-9099-C40C66FF867C}">
                  <a14:compatExt spid="_x0000_s18438"/>
                </a:ext>
                <a:ext uri="{FF2B5EF4-FFF2-40B4-BE49-F238E27FC236}">
                  <a16:creationId xmlns:a16="http://schemas.microsoft.com/office/drawing/2014/main" id="{00000000-0008-0000-0300-0000064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590550</xdr:colOff>
          <xdr:row>0</xdr:row>
          <xdr:rowOff>180975</xdr:rowOff>
        </xdr:from>
        <xdr:to>
          <xdr:col>7</xdr:col>
          <xdr:colOff>257175</xdr:colOff>
          <xdr:row>2</xdr:row>
          <xdr:rowOff>152400</xdr:rowOff>
        </xdr:to>
        <xdr:sp macro="" textlink="">
          <xdr:nvSpPr>
            <xdr:cNvPr id="38913" name="btnImportRealisation" hidden="1">
              <a:extLst>
                <a:ext uri="{63B3BB69-23CF-44E3-9099-C40C66FF867C}">
                  <a14:compatExt spid="_x0000_s38913"/>
                </a:ext>
                <a:ext uri="{FF2B5EF4-FFF2-40B4-BE49-F238E27FC236}">
                  <a16:creationId xmlns:a16="http://schemas.microsoft.com/office/drawing/2014/main" id="{00000000-0008-0000-0400-0000019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590550</xdr:colOff>
          <xdr:row>0</xdr:row>
          <xdr:rowOff>180975</xdr:rowOff>
        </xdr:from>
        <xdr:to>
          <xdr:col>7</xdr:col>
          <xdr:colOff>257175</xdr:colOff>
          <xdr:row>2</xdr:row>
          <xdr:rowOff>152400</xdr:rowOff>
        </xdr:to>
        <xdr:sp macro="" textlink="">
          <xdr:nvSpPr>
            <xdr:cNvPr id="43009" name="btnImportRealisation" hidden="1">
              <a:extLst>
                <a:ext uri="{63B3BB69-23CF-44E3-9099-C40C66FF867C}">
                  <a14:compatExt spid="_x0000_s43009"/>
                </a:ext>
                <a:ext uri="{FF2B5EF4-FFF2-40B4-BE49-F238E27FC236}">
                  <a16:creationId xmlns:a16="http://schemas.microsoft.com/office/drawing/2014/main" id="{00000000-0008-0000-0500-000001A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hèmeGGZExcel">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GGZ">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vmlDrawing" Target="../drawings/vmlDrawing1.vml"/><Relationship Id="rId7" Type="http://schemas.openxmlformats.org/officeDocument/2006/relationships/control" Target="../activeX/activeX2.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image" Target="../media/image1.emf"/><Relationship Id="rId5" Type="http://schemas.openxmlformats.org/officeDocument/2006/relationships/control" Target="../activeX/activeX1.xml"/><Relationship Id="rId10" Type="http://schemas.openxmlformats.org/officeDocument/2006/relationships/image" Target="../media/image3.emf"/><Relationship Id="rId4" Type="http://schemas.openxmlformats.org/officeDocument/2006/relationships/vmlDrawing" Target="../drawings/vmlDrawing2.vml"/><Relationship Id="rId9" Type="http://schemas.openxmlformats.org/officeDocument/2006/relationships/control" Target="../activeX/activeX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control" Target="../activeX/activeX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6.emf"/><Relationship Id="rId4" Type="http://schemas.openxmlformats.org/officeDocument/2006/relationships/control" Target="../activeX/activeX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7.emf"/><Relationship Id="rId4" Type="http://schemas.openxmlformats.org/officeDocument/2006/relationships/control" Target="../activeX/activeX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G54"/>
  <sheetViews>
    <sheetView view="pageBreakPreview" topLeftCell="A10" zoomScaleNormal="100" zoomScaleSheetLayoutView="100" workbookViewId="0">
      <selection activeCell="C35" sqref="C35"/>
    </sheetView>
  </sheetViews>
  <sheetFormatPr baseColWidth="10" defaultColWidth="11.5703125" defaultRowHeight="13.5" x14ac:dyDescent="0.25"/>
  <cols>
    <col min="1" max="1" width="16.5703125" style="57" customWidth="1"/>
    <col min="2" max="2" width="55.140625" style="57" customWidth="1"/>
    <col min="3" max="3" width="88.5703125" style="57" customWidth="1"/>
    <col min="4" max="4" width="3.42578125" style="57" customWidth="1"/>
    <col min="5" max="6" width="11.5703125" style="57"/>
    <col min="7" max="7" width="3.28515625" style="57" customWidth="1"/>
    <col min="8" max="16384" width="11.5703125" style="57"/>
  </cols>
  <sheetData>
    <row r="1" spans="1:7" x14ac:dyDescent="0.25">
      <c r="A1" s="54"/>
      <c r="B1" s="55"/>
      <c r="C1" s="55"/>
      <c r="D1" s="55"/>
      <c r="E1" s="55"/>
      <c r="F1" s="55"/>
      <c r="G1" s="56"/>
    </row>
    <row r="2" spans="1:7" ht="14.25" thickBot="1" x14ac:dyDescent="0.3">
      <c r="A2" s="58"/>
      <c r="B2" s="59"/>
      <c r="C2" s="59"/>
      <c r="D2" s="59"/>
      <c r="E2" s="59"/>
      <c r="F2" s="59"/>
      <c r="G2" s="60"/>
    </row>
    <row r="3" spans="1:7" ht="20.25" x14ac:dyDescent="0.25">
      <c r="A3" s="58"/>
      <c r="B3" s="61" t="s">
        <v>0</v>
      </c>
      <c r="C3" s="62" t="s">
        <v>24</v>
      </c>
      <c r="D3" s="59"/>
      <c r="E3" s="59"/>
      <c r="F3" s="59"/>
      <c r="G3" s="60"/>
    </row>
    <row r="4" spans="1:7" ht="20.25" x14ac:dyDescent="0.25">
      <c r="A4" s="58"/>
      <c r="B4" s="63" t="s">
        <v>4</v>
      </c>
      <c r="C4" s="64" t="s">
        <v>25</v>
      </c>
      <c r="D4" s="59"/>
      <c r="E4" s="59"/>
      <c r="F4" s="59"/>
      <c r="G4" s="60"/>
    </row>
    <row r="5" spans="1:7" ht="20.25" x14ac:dyDescent="0.25">
      <c r="A5" s="58"/>
      <c r="B5" s="63" t="s">
        <v>1</v>
      </c>
      <c r="C5" s="64" t="s">
        <v>26</v>
      </c>
      <c r="D5" s="59"/>
      <c r="E5" s="59"/>
      <c r="F5" s="59"/>
      <c r="G5" s="60"/>
    </row>
    <row r="6" spans="1:7" ht="21" thickBot="1" x14ac:dyDescent="0.3">
      <c r="A6" s="58"/>
      <c r="B6" s="65" t="s">
        <v>2</v>
      </c>
      <c r="C6" s="66" t="s">
        <v>27</v>
      </c>
      <c r="D6" s="59"/>
      <c r="E6" s="59"/>
      <c r="F6" s="59"/>
      <c r="G6" s="60"/>
    </row>
    <row r="7" spans="1:7" x14ac:dyDescent="0.25">
      <c r="A7" s="58"/>
      <c r="B7" s="59"/>
      <c r="C7" s="59"/>
      <c r="D7" s="59"/>
      <c r="E7" s="59"/>
      <c r="F7" s="59"/>
      <c r="G7" s="60"/>
    </row>
    <row r="8" spans="1:7" ht="14.25" thickBot="1" x14ac:dyDescent="0.3">
      <c r="A8" s="58"/>
      <c r="B8" s="59"/>
      <c r="C8" s="59"/>
      <c r="D8" s="59"/>
      <c r="E8" s="59"/>
      <c r="F8" s="59"/>
      <c r="G8" s="60"/>
    </row>
    <row r="9" spans="1:7" ht="20.25" x14ac:dyDescent="0.25">
      <c r="A9" s="58"/>
      <c r="B9" s="61" t="s">
        <v>9</v>
      </c>
      <c r="C9" s="67">
        <v>45964</v>
      </c>
      <c r="D9" s="59"/>
      <c r="E9" s="59"/>
      <c r="F9" s="59"/>
      <c r="G9" s="60"/>
    </row>
    <row r="10" spans="1:7" ht="20.25" x14ac:dyDescent="0.25">
      <c r="A10" s="58"/>
      <c r="B10" s="68" t="s">
        <v>8</v>
      </c>
      <c r="C10" s="69">
        <v>45662</v>
      </c>
      <c r="D10" s="59"/>
      <c r="E10" s="59"/>
      <c r="F10" s="59"/>
      <c r="G10" s="60"/>
    </row>
    <row r="11" spans="1:7" ht="20.25" x14ac:dyDescent="0.25">
      <c r="A11" s="58"/>
      <c r="B11" s="68" t="s">
        <v>10</v>
      </c>
      <c r="C11" s="70">
        <v>8</v>
      </c>
      <c r="D11" s="59"/>
      <c r="E11" s="59"/>
      <c r="F11" s="59"/>
      <c r="G11" s="60"/>
    </row>
    <row r="12" spans="1:7" ht="20.25" x14ac:dyDescent="0.25">
      <c r="A12" s="58"/>
      <c r="B12" s="63" t="s">
        <v>11</v>
      </c>
      <c r="C12" s="71">
        <v>3</v>
      </c>
      <c r="D12" s="59"/>
      <c r="E12" s="59"/>
      <c r="F12" s="59"/>
      <c r="G12" s="60"/>
    </row>
    <row r="13" spans="1:7" ht="20.25" x14ac:dyDescent="0.25">
      <c r="A13" s="58"/>
      <c r="B13" s="63" t="s">
        <v>12</v>
      </c>
      <c r="C13" s="71">
        <v>3</v>
      </c>
      <c r="D13" s="59"/>
      <c r="E13" s="59"/>
      <c r="F13" s="59"/>
      <c r="G13" s="60"/>
    </row>
    <row r="14" spans="1:7" ht="20.25" thickBot="1" x14ac:dyDescent="0.3">
      <c r="A14" s="58"/>
      <c r="B14" s="72"/>
      <c r="C14" s="73" t="s">
        <v>6</v>
      </c>
      <c r="D14" s="59"/>
      <c r="E14" s="59"/>
      <c r="F14" s="59"/>
      <c r="G14" s="60"/>
    </row>
    <row r="15" spans="1:7" x14ac:dyDescent="0.25">
      <c r="A15" s="58"/>
      <c r="B15" s="59"/>
      <c r="C15" s="59"/>
      <c r="D15" s="59"/>
      <c r="E15" s="59"/>
      <c r="F15" s="59"/>
      <c r="G15" s="60"/>
    </row>
    <row r="16" spans="1:7" ht="14.25" thickBot="1" x14ac:dyDescent="0.3">
      <c r="A16" s="74"/>
      <c r="B16" s="75"/>
      <c r="C16" s="75"/>
      <c r="D16" s="75"/>
      <c r="E16" s="75"/>
      <c r="F16" s="75"/>
      <c r="G16" s="76"/>
    </row>
    <row r="17" spans="1:7" x14ac:dyDescent="0.25">
      <c r="A17" s="77"/>
      <c r="B17" s="55"/>
      <c r="C17" s="55"/>
      <c r="D17" s="55"/>
      <c r="E17" s="55"/>
      <c r="F17" s="55"/>
      <c r="G17" s="56"/>
    </row>
    <row r="18" spans="1:7" ht="14.25" thickBot="1" x14ac:dyDescent="0.3">
      <c r="A18" s="78"/>
      <c r="B18" s="59"/>
      <c r="C18" s="59"/>
      <c r="D18" s="59"/>
      <c r="E18" s="59"/>
      <c r="F18" s="59"/>
      <c r="G18" s="60"/>
    </row>
    <row r="19" spans="1:7" ht="21" thickBot="1" x14ac:dyDescent="0.3">
      <c r="A19" s="78"/>
      <c r="B19" s="98" t="s">
        <v>19</v>
      </c>
      <c r="C19" s="99"/>
      <c r="D19" s="59"/>
      <c r="E19" s="59"/>
      <c r="F19" s="59"/>
      <c r="G19" s="60"/>
    </row>
    <row r="20" spans="1:7" ht="20.25" x14ac:dyDescent="0.25">
      <c r="A20" s="78"/>
      <c r="B20" s="79" t="s">
        <v>20</v>
      </c>
      <c r="C20" s="80" t="s">
        <v>21</v>
      </c>
      <c r="D20" s="59"/>
      <c r="E20" s="59"/>
      <c r="F20" s="59"/>
      <c r="G20" s="60"/>
    </row>
    <row r="21" spans="1:7" ht="20.25" x14ac:dyDescent="0.25">
      <c r="A21" s="78"/>
      <c r="B21" s="79">
        <v>1</v>
      </c>
      <c r="C21" s="69" t="s">
        <v>31</v>
      </c>
      <c r="D21" s="59"/>
      <c r="E21" s="59"/>
      <c r="F21" s="59"/>
      <c r="G21" s="60"/>
    </row>
    <row r="22" spans="1:7" ht="20.25" x14ac:dyDescent="0.25">
      <c r="A22" s="78"/>
      <c r="B22" s="79">
        <v>2</v>
      </c>
      <c r="C22" s="70" t="s">
        <v>32</v>
      </c>
      <c r="D22" s="59"/>
      <c r="E22" s="59"/>
      <c r="F22" s="59"/>
      <c r="G22" s="60"/>
    </row>
    <row r="23" spans="1:7" ht="20.25" x14ac:dyDescent="0.25">
      <c r="A23" s="78"/>
      <c r="B23" s="81">
        <v>3</v>
      </c>
      <c r="C23" s="70" t="s">
        <v>33</v>
      </c>
      <c r="D23" s="59"/>
      <c r="E23" s="59"/>
      <c r="F23" s="59"/>
      <c r="G23" s="60"/>
    </row>
    <row r="24" spans="1:7" ht="20.25" x14ac:dyDescent="0.25">
      <c r="A24" s="78"/>
      <c r="B24" s="79">
        <v>4</v>
      </c>
      <c r="C24" s="70" t="s">
        <v>35</v>
      </c>
      <c r="D24" s="59"/>
      <c r="E24" s="59"/>
      <c r="F24" s="59"/>
      <c r="G24" s="60"/>
    </row>
    <row r="25" spans="1:7" ht="20.25" x14ac:dyDescent="0.25">
      <c r="A25" s="78"/>
      <c r="B25" s="79">
        <v>5</v>
      </c>
      <c r="C25" s="70" t="s">
        <v>39</v>
      </c>
      <c r="D25" s="59"/>
      <c r="E25" s="59"/>
      <c r="F25" s="59"/>
      <c r="G25" s="60"/>
    </row>
    <row r="26" spans="1:7" ht="20.25" x14ac:dyDescent="0.25">
      <c r="A26" s="78"/>
      <c r="B26" s="81">
        <v>6</v>
      </c>
      <c r="C26" s="70" t="s">
        <v>42</v>
      </c>
      <c r="D26" s="59"/>
      <c r="E26" s="59"/>
      <c r="F26" s="59"/>
      <c r="G26" s="60"/>
    </row>
    <row r="27" spans="1:7" ht="20.25" x14ac:dyDescent="0.25">
      <c r="A27" s="78"/>
      <c r="B27" s="79">
        <v>7</v>
      </c>
      <c r="C27" s="70" t="s">
        <v>43</v>
      </c>
      <c r="D27" s="59"/>
      <c r="E27" s="59"/>
      <c r="F27" s="59"/>
      <c r="G27" s="60"/>
    </row>
    <row r="28" spans="1:7" ht="20.25" x14ac:dyDescent="0.25">
      <c r="A28" s="78"/>
      <c r="B28" s="79">
        <v>8</v>
      </c>
      <c r="C28" s="71" t="s">
        <v>44</v>
      </c>
      <c r="D28" s="59"/>
      <c r="E28" s="59"/>
      <c r="F28" s="59"/>
      <c r="G28" s="60"/>
    </row>
    <row r="29" spans="1:7" ht="20.25" x14ac:dyDescent="0.25">
      <c r="A29" s="78"/>
      <c r="B29" s="81">
        <v>9</v>
      </c>
      <c r="C29" s="71" t="s">
        <v>46</v>
      </c>
      <c r="D29" s="59"/>
      <c r="E29" s="59"/>
      <c r="F29" s="59"/>
      <c r="G29" s="60"/>
    </row>
    <row r="30" spans="1:7" ht="20.25" x14ac:dyDescent="0.25">
      <c r="A30" s="78"/>
      <c r="B30" s="79">
        <v>10</v>
      </c>
      <c r="C30" s="70" t="s">
        <v>49</v>
      </c>
      <c r="D30" s="59"/>
      <c r="E30" s="59"/>
      <c r="F30" s="59"/>
      <c r="G30" s="60"/>
    </row>
    <row r="31" spans="1:7" ht="20.25" x14ac:dyDescent="0.25">
      <c r="A31" s="78"/>
      <c r="B31" s="79">
        <v>11</v>
      </c>
      <c r="C31" s="70" t="s">
        <v>50</v>
      </c>
      <c r="D31" s="59"/>
      <c r="E31" s="59"/>
      <c r="F31" s="59"/>
      <c r="G31" s="60"/>
    </row>
    <row r="32" spans="1:7" ht="20.25" x14ac:dyDescent="0.25">
      <c r="A32" s="78"/>
      <c r="B32" s="81">
        <v>12</v>
      </c>
      <c r="C32" s="70" t="s">
        <v>59</v>
      </c>
      <c r="D32" s="59"/>
      <c r="E32" s="59"/>
      <c r="F32" s="59"/>
      <c r="G32" s="60"/>
    </row>
    <row r="33" spans="1:7" ht="20.25" x14ac:dyDescent="0.25">
      <c r="A33" s="78"/>
      <c r="B33" s="79">
        <v>13</v>
      </c>
      <c r="C33" s="70" t="s">
        <v>60</v>
      </c>
      <c r="D33" s="59"/>
      <c r="E33" s="59"/>
      <c r="F33" s="59"/>
      <c r="G33" s="60"/>
    </row>
    <row r="34" spans="1:7" ht="20.25" x14ac:dyDescent="0.25">
      <c r="A34" s="78"/>
      <c r="B34" s="79">
        <v>14</v>
      </c>
      <c r="C34" s="71" t="s">
        <v>61</v>
      </c>
      <c r="D34" s="59"/>
      <c r="E34" s="59"/>
      <c r="F34" s="59"/>
      <c r="G34" s="60"/>
    </row>
    <row r="35" spans="1:7" ht="20.25" x14ac:dyDescent="0.25">
      <c r="A35" s="78"/>
      <c r="B35" s="81">
        <v>15</v>
      </c>
      <c r="C35" s="71" t="s">
        <v>62</v>
      </c>
      <c r="D35" s="59"/>
      <c r="E35" s="59"/>
      <c r="F35" s="59"/>
      <c r="G35" s="60"/>
    </row>
    <row r="36" spans="1:7" ht="20.25" x14ac:dyDescent="0.25">
      <c r="A36" s="78"/>
      <c r="B36" s="79">
        <v>16</v>
      </c>
      <c r="C36" s="70"/>
      <c r="D36" s="59"/>
      <c r="E36" s="59"/>
      <c r="F36" s="59"/>
      <c r="G36" s="60"/>
    </row>
    <row r="37" spans="1:7" ht="20.25" x14ac:dyDescent="0.25">
      <c r="A37" s="78"/>
      <c r="B37" s="79">
        <v>17</v>
      </c>
      <c r="C37" s="70"/>
      <c r="D37" s="59"/>
      <c r="E37" s="59"/>
      <c r="F37" s="59"/>
      <c r="G37" s="60"/>
    </row>
    <row r="38" spans="1:7" ht="20.25" x14ac:dyDescent="0.25">
      <c r="A38" s="78"/>
      <c r="B38" s="81">
        <v>18</v>
      </c>
      <c r="C38" s="70"/>
      <c r="D38" s="59"/>
      <c r="E38" s="59"/>
      <c r="F38" s="59"/>
      <c r="G38" s="60"/>
    </row>
    <row r="39" spans="1:7" ht="20.25" x14ac:dyDescent="0.25">
      <c r="A39" s="78"/>
      <c r="B39" s="79">
        <v>19</v>
      </c>
      <c r="C39" s="70"/>
      <c r="D39" s="59"/>
      <c r="E39" s="59"/>
      <c r="F39" s="59"/>
      <c r="G39" s="60"/>
    </row>
    <row r="40" spans="1:7" ht="20.25" x14ac:dyDescent="0.25">
      <c r="A40" s="78"/>
      <c r="B40" s="79">
        <v>20</v>
      </c>
      <c r="C40" s="71"/>
      <c r="D40" s="59"/>
      <c r="E40" s="59"/>
      <c r="F40" s="59"/>
      <c r="G40" s="60"/>
    </row>
    <row r="41" spans="1:7" ht="20.25" x14ac:dyDescent="0.25">
      <c r="A41" s="78"/>
      <c r="B41" s="81">
        <v>21</v>
      </c>
      <c r="C41" s="71"/>
      <c r="D41" s="59"/>
      <c r="E41" s="59"/>
      <c r="F41" s="59"/>
      <c r="G41" s="60"/>
    </row>
    <row r="42" spans="1:7" ht="20.25" x14ac:dyDescent="0.25">
      <c r="A42" s="78"/>
      <c r="B42" s="79">
        <v>22</v>
      </c>
      <c r="C42" s="70"/>
      <c r="D42" s="59"/>
      <c r="E42" s="59"/>
      <c r="F42" s="59"/>
      <c r="G42" s="60"/>
    </row>
    <row r="43" spans="1:7" ht="20.25" x14ac:dyDescent="0.25">
      <c r="A43" s="78"/>
      <c r="B43" s="79">
        <v>23</v>
      </c>
      <c r="C43" s="70"/>
      <c r="D43" s="59"/>
      <c r="E43" s="59"/>
      <c r="F43" s="59"/>
      <c r="G43" s="60"/>
    </row>
    <row r="44" spans="1:7" ht="20.25" x14ac:dyDescent="0.25">
      <c r="A44" s="78"/>
      <c r="B44" s="81">
        <v>24</v>
      </c>
      <c r="C44" s="70"/>
      <c r="D44" s="59"/>
      <c r="E44" s="59"/>
      <c r="F44" s="59"/>
      <c r="G44" s="60"/>
    </row>
    <row r="45" spans="1:7" ht="21" thickBot="1" x14ac:dyDescent="0.3">
      <c r="A45" s="78"/>
      <c r="B45" s="82">
        <v>25</v>
      </c>
      <c r="C45" s="83"/>
      <c r="D45" s="59"/>
      <c r="E45" s="59"/>
      <c r="F45" s="59"/>
      <c r="G45" s="60"/>
    </row>
    <row r="46" spans="1:7" x14ac:dyDescent="0.25">
      <c r="A46" s="78"/>
      <c r="B46" s="55"/>
      <c r="C46" s="59"/>
      <c r="D46" s="59"/>
      <c r="E46" s="59"/>
      <c r="F46" s="59"/>
      <c r="G46" s="60"/>
    </row>
    <row r="47" spans="1:7" x14ac:dyDescent="0.25">
      <c r="A47" s="78"/>
      <c r="B47" s="59"/>
      <c r="C47" s="59"/>
      <c r="D47" s="59"/>
      <c r="E47" s="59"/>
      <c r="F47" s="59"/>
      <c r="G47" s="60"/>
    </row>
    <row r="48" spans="1:7" x14ac:dyDescent="0.25">
      <c r="A48" s="78"/>
      <c r="B48" s="59"/>
      <c r="C48" s="59"/>
      <c r="D48" s="59"/>
      <c r="E48" s="59"/>
      <c r="F48" s="59"/>
      <c r="G48" s="60"/>
    </row>
    <row r="49" spans="1:7" x14ac:dyDescent="0.25">
      <c r="A49" s="78"/>
      <c r="B49" s="59"/>
      <c r="C49" s="59"/>
      <c r="D49" s="59"/>
      <c r="E49" s="59"/>
      <c r="F49" s="59"/>
      <c r="G49" s="60"/>
    </row>
    <row r="50" spans="1:7" x14ac:dyDescent="0.25">
      <c r="A50" s="78"/>
      <c r="B50" s="59"/>
      <c r="C50" s="59"/>
      <c r="D50" s="59"/>
      <c r="E50" s="59"/>
      <c r="F50" s="59"/>
      <c r="G50" s="60"/>
    </row>
    <row r="51" spans="1:7" x14ac:dyDescent="0.25">
      <c r="A51" s="78"/>
      <c r="B51" s="59"/>
      <c r="C51" s="59"/>
      <c r="D51" s="59"/>
      <c r="E51" s="59"/>
      <c r="F51" s="59"/>
      <c r="G51" s="60"/>
    </row>
    <row r="52" spans="1:7" x14ac:dyDescent="0.25">
      <c r="A52" s="78"/>
      <c r="B52" s="59"/>
      <c r="C52" s="59"/>
      <c r="D52" s="59"/>
      <c r="E52" s="59"/>
      <c r="F52" s="59"/>
      <c r="G52" s="60"/>
    </row>
    <row r="53" spans="1:7" x14ac:dyDescent="0.25">
      <c r="A53" s="78"/>
      <c r="B53" s="59"/>
      <c r="C53" s="59"/>
      <c r="D53" s="59"/>
      <c r="E53" s="59"/>
      <c r="F53" s="59"/>
      <c r="G53" s="60"/>
    </row>
    <row r="54" spans="1:7" ht="14.25" thickBot="1" x14ac:dyDescent="0.3">
      <c r="A54" s="84"/>
      <c r="B54" s="75"/>
      <c r="C54" s="75"/>
      <c r="D54" s="75"/>
      <c r="E54" s="75"/>
      <c r="F54" s="75"/>
      <c r="G54" s="76"/>
    </row>
  </sheetData>
  <sheetProtection selectLockedCells="1"/>
  <mergeCells count="1">
    <mergeCell ref="B19:C19"/>
  </mergeCells>
  <printOptions horizontalCentered="1"/>
  <pageMargins left="0.70866141732283472" right="0.70866141732283472" top="0.74803149606299213" bottom="0.74803149606299213" header="0.31496062992125984" footer="0.31496062992125984"/>
  <pageSetup paperSize="9" scale="52" orientation="landscape" r:id="rId1"/>
  <headerFooter>
    <oddHeader>&amp;L&amp;"ETML L,Normal"ETML&amp;C&amp;"-,Normal"Planification&amp;R&amp;G</oddHeader>
    <oddFooter>&amp;L&amp;"-,Normal"&amp;D - GGZ&amp;C&amp;"-,Normal"&amp;F - &amp;A&amp;R&amp;"-,Normal"Page &amp;P/&amp;N</oddFooter>
  </headerFooter>
  <drawing r:id="rId2"/>
  <legacyDrawing r:id="rId3"/>
  <legacyDrawingHF r:id="rId4"/>
  <controls>
    <mc:AlternateContent xmlns:mc="http://schemas.openxmlformats.org/markup-compatibility/2006">
      <mc:Choice Requires="x14">
        <control shapeId="15365" r:id="rId5" name="btnCreateWorkSheet">
          <controlPr defaultSize="0" autoLine="0" r:id="rId6">
            <anchor moveWithCells="1">
              <from>
                <xdr:col>4</xdr:col>
                <xdr:colOff>9525</xdr:colOff>
                <xdr:row>8</xdr:row>
                <xdr:rowOff>190500</xdr:rowOff>
              </from>
              <to>
                <xdr:col>6</xdr:col>
                <xdr:colOff>114300</xdr:colOff>
                <xdr:row>10</xdr:row>
                <xdr:rowOff>152400</xdr:rowOff>
              </to>
            </anchor>
          </controlPr>
        </control>
      </mc:Choice>
      <mc:Fallback>
        <control shapeId="15365" r:id="rId5" name="btnCreateWorkSheet"/>
      </mc:Fallback>
    </mc:AlternateContent>
    <mc:AlternateContent xmlns:mc="http://schemas.openxmlformats.org/markup-compatibility/2006">
      <mc:Choice Requires="x14">
        <control shapeId="15362" r:id="rId7" name="btnCreateDiagram">
          <controlPr defaultSize="0" autoLine="0" r:id="rId8">
            <anchor moveWithCells="1">
              <from>
                <xdr:col>4</xdr:col>
                <xdr:colOff>9525</xdr:colOff>
                <xdr:row>1</xdr:row>
                <xdr:rowOff>161925</xdr:rowOff>
              </from>
              <to>
                <xdr:col>6</xdr:col>
                <xdr:colOff>76200</xdr:colOff>
                <xdr:row>3</xdr:row>
                <xdr:rowOff>200025</xdr:rowOff>
              </to>
            </anchor>
          </controlPr>
        </control>
      </mc:Choice>
      <mc:Fallback>
        <control shapeId="15362" r:id="rId7" name="btnCreateDiagram"/>
      </mc:Fallback>
    </mc:AlternateContent>
    <mc:AlternateContent xmlns:mc="http://schemas.openxmlformats.org/markup-compatibility/2006">
      <mc:Choice Requires="x14">
        <control shapeId="15364" r:id="rId9" name="btnCreatePlanning">
          <controlPr defaultSize="0" autoLine="0" r:id="rId10">
            <anchor moveWithCells="1">
              <from>
                <xdr:col>4</xdr:col>
                <xdr:colOff>9525</xdr:colOff>
                <xdr:row>5</xdr:row>
                <xdr:rowOff>9525</xdr:rowOff>
              </from>
              <to>
                <xdr:col>6</xdr:col>
                <xdr:colOff>95250</xdr:colOff>
                <xdr:row>7</xdr:row>
                <xdr:rowOff>47625</xdr:rowOff>
              </to>
            </anchor>
          </controlPr>
        </control>
      </mc:Choice>
      <mc:Fallback>
        <control shapeId="15364" r:id="rId9" name="btnCreatePlanning"/>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6"/>
  <dimension ref="A1:D16"/>
  <sheetViews>
    <sheetView workbookViewId="0">
      <selection activeCell="C30" sqref="C30"/>
    </sheetView>
  </sheetViews>
  <sheetFormatPr baseColWidth="10" defaultColWidth="1.5703125" defaultRowHeight="19.5" customHeight="1" x14ac:dyDescent="0.25"/>
  <cols>
    <col min="1" max="1" width="17.85546875" style="20" customWidth="1"/>
    <col min="2" max="2" width="51.28515625" style="20" customWidth="1"/>
    <col min="3" max="3" width="19.42578125" style="20" customWidth="1"/>
    <col min="4" max="16384" width="1.5703125" style="20"/>
  </cols>
  <sheetData>
    <row r="1" spans="1:4" ht="14.25" thickBot="1" x14ac:dyDescent="0.3">
      <c r="B1" s="21"/>
      <c r="C1" s="21"/>
    </row>
    <row r="2" spans="1:4" ht="42.75" customHeight="1" thickBot="1" x14ac:dyDescent="0.3">
      <c r="A2" s="19"/>
      <c r="B2" s="23" t="s">
        <v>5</v>
      </c>
      <c r="C2" s="15" t="s">
        <v>18</v>
      </c>
    </row>
    <row r="3" spans="1:4" ht="19.5" customHeight="1" x14ac:dyDescent="0.25">
      <c r="A3" s="19"/>
      <c r="B3" s="100" t="s">
        <v>21</v>
      </c>
      <c r="C3" s="16">
        <v>0</v>
      </c>
    </row>
    <row r="4" spans="1:4" ht="19.5" customHeight="1" x14ac:dyDescent="0.25">
      <c r="A4" s="19"/>
      <c r="B4" s="101"/>
      <c r="C4" s="22">
        <v>0</v>
      </c>
      <c r="D4" s="29"/>
    </row>
    <row r="16" spans="1:4" ht="19.5" customHeight="1" x14ac:dyDescent="0.25">
      <c r="A16" s="41"/>
    </row>
  </sheetData>
  <mergeCells count="1">
    <mergeCell ref="B3:B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B3:E39"/>
  <sheetViews>
    <sheetView workbookViewId="0">
      <selection activeCell="J21" sqref="J21"/>
    </sheetView>
  </sheetViews>
  <sheetFormatPr baseColWidth="10" defaultRowHeight="13.5" x14ac:dyDescent="0.25"/>
  <cols>
    <col min="2" max="2" width="51.85546875" customWidth="1"/>
    <col min="3" max="3" width="35" customWidth="1"/>
  </cols>
  <sheetData>
    <row r="3" spans="2:3" ht="27.75" customHeight="1" x14ac:dyDescent="0.25">
      <c r="B3" s="25" t="s">
        <v>16</v>
      </c>
      <c r="C3" s="27">
        <v>0</v>
      </c>
    </row>
    <row r="4" spans="2:3" ht="18.75" thickBot="1" x14ac:dyDescent="0.3">
      <c r="B4" s="26" t="s">
        <v>17</v>
      </c>
      <c r="C4" s="28">
        <v>0</v>
      </c>
    </row>
    <row r="39" spans="5:5" x14ac:dyDescent="0.25">
      <c r="E39" s="24"/>
    </row>
  </sheetData>
  <dataValidations count="1">
    <dataValidation type="whole" allowBlank="1" showInputMessage="1" showErrorMessage="1" errorTitle="DureeTropLongue" error="Cette durée est invalide: ce n'est pas un chiffre entier positif ou elle dépasse la &quot;Durée totale&quot; définie plus haut ..." sqref="C3" xr:uid="{00000000-0002-0000-0200-000000000000}">
      <formula1>0</formula1>
      <formula2>$C$9</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H31"/>
  <sheetViews>
    <sheetView workbookViewId="0">
      <selection activeCell="D1" sqref="D1"/>
    </sheetView>
  </sheetViews>
  <sheetFormatPr baseColWidth="10" defaultColWidth="11.42578125" defaultRowHeight="13.5" x14ac:dyDescent="0.25"/>
  <cols>
    <col min="1" max="1" width="21.42578125" style="20" customWidth="1"/>
    <col min="2" max="2" width="8.5703125" style="20" customWidth="1"/>
    <col min="3" max="3" width="87" style="20" customWidth="1"/>
    <col min="4" max="4" width="44.140625" style="20" customWidth="1"/>
    <col min="5" max="16384" width="11.42578125" style="20"/>
  </cols>
  <sheetData>
    <row r="1" spans="1:4" ht="18.75" thickBot="1" x14ac:dyDescent="0.3">
      <c r="A1" s="6" t="s">
        <v>14</v>
      </c>
      <c r="B1" s="7">
        <v>1</v>
      </c>
      <c r="C1" s="17"/>
      <c r="D1" s="85"/>
    </row>
    <row r="2" spans="1:4" ht="27.75" thickBot="1" x14ac:dyDescent="0.3">
      <c r="A2" s="8" t="s">
        <v>3</v>
      </c>
      <c r="B2" s="18" t="s">
        <v>15</v>
      </c>
      <c r="C2" s="8" t="s">
        <v>7</v>
      </c>
      <c r="D2" s="8" t="s">
        <v>13</v>
      </c>
    </row>
    <row r="3" spans="1:4" s="52" customFormat="1" x14ac:dyDescent="0.25">
      <c r="A3" s="5"/>
      <c r="B3" s="4"/>
      <c r="C3" s="9"/>
      <c r="D3" s="9"/>
    </row>
    <row r="4" spans="1:4" s="52" customFormat="1" x14ac:dyDescent="0.25">
      <c r="A4" s="1"/>
      <c r="B4" s="2"/>
      <c r="C4" s="10"/>
      <c r="D4" s="10"/>
    </row>
    <row r="5" spans="1:4" s="52" customFormat="1" x14ac:dyDescent="0.25">
      <c r="A5" s="1"/>
      <c r="B5" s="2"/>
      <c r="C5" s="10"/>
      <c r="D5" s="10"/>
    </row>
    <row r="6" spans="1:4" s="52" customFormat="1" x14ac:dyDescent="0.25">
      <c r="A6" s="1"/>
      <c r="B6" s="2"/>
      <c r="C6" s="10"/>
      <c r="D6" s="10"/>
    </row>
    <row r="7" spans="1:4" s="52" customFormat="1" x14ac:dyDescent="0.25">
      <c r="A7" s="1"/>
      <c r="B7" s="2"/>
      <c r="C7" s="10"/>
      <c r="D7" s="10"/>
    </row>
    <row r="8" spans="1:4" s="52" customFormat="1" x14ac:dyDescent="0.25">
      <c r="A8" s="1"/>
      <c r="B8" s="2"/>
      <c r="C8" s="10"/>
      <c r="D8" s="10"/>
    </row>
    <row r="9" spans="1:4" s="52" customFormat="1" x14ac:dyDescent="0.25">
      <c r="A9" s="2"/>
      <c r="B9" s="2"/>
      <c r="C9" s="10"/>
      <c r="D9" s="10"/>
    </row>
    <row r="10" spans="1:4" s="52" customFormat="1" x14ac:dyDescent="0.25">
      <c r="A10" s="2"/>
      <c r="B10" s="2"/>
      <c r="C10" s="10"/>
      <c r="D10" s="10"/>
    </row>
    <row r="11" spans="1:4" s="52" customFormat="1" x14ac:dyDescent="0.25">
      <c r="A11" s="2"/>
      <c r="B11" s="2"/>
      <c r="C11" s="10"/>
      <c r="D11" s="10"/>
    </row>
    <row r="12" spans="1:4" s="52" customFormat="1" ht="14.25" thickBot="1" x14ac:dyDescent="0.3">
      <c r="A12" s="3"/>
      <c r="B12" s="3"/>
      <c r="C12" s="11"/>
      <c r="D12" s="11"/>
    </row>
    <row r="13" spans="1:4" ht="14.25" thickBot="1" x14ac:dyDescent="0.3">
      <c r="A13" s="12" t="s">
        <v>22</v>
      </c>
      <c r="B13" s="12">
        <f>SUM(B3:B12)</f>
        <v>0</v>
      </c>
      <c r="C13" s="13"/>
      <c r="D13" s="13"/>
    </row>
    <row r="14" spans="1:4" ht="14.25" x14ac:dyDescent="0.3">
      <c r="A14" s="14"/>
      <c r="B14" s="14"/>
      <c r="C14" s="14"/>
      <c r="D14" s="14"/>
    </row>
    <row r="20" spans="1:8" ht="12.75" customHeight="1" x14ac:dyDescent="0.25">
      <c r="A20" s="30"/>
      <c r="B20" s="31"/>
      <c r="C20" s="32"/>
      <c r="D20" s="33"/>
      <c r="F20" s="31"/>
      <c r="G20" s="32"/>
      <c r="H20" s="33"/>
    </row>
    <row r="21" spans="1:8" ht="15" x14ac:dyDescent="0.25">
      <c r="A21" s="30"/>
      <c r="B21" s="34"/>
      <c r="C21" s="30"/>
      <c r="D21" s="30"/>
      <c r="F21" s="34"/>
      <c r="G21" s="30"/>
      <c r="H21" s="30"/>
    </row>
    <row r="22" spans="1:8" x14ac:dyDescent="0.25">
      <c r="A22" s="35"/>
      <c r="B22" s="36"/>
      <c r="C22" s="37"/>
      <c r="D22" s="37"/>
      <c r="F22" s="36"/>
      <c r="G22" s="37"/>
      <c r="H22" s="37"/>
    </row>
    <row r="23" spans="1:8" x14ac:dyDescent="0.25">
      <c r="A23" s="35"/>
      <c r="B23" s="36"/>
      <c r="C23" s="37"/>
      <c r="D23" s="37"/>
      <c r="F23" s="36"/>
      <c r="G23" s="37"/>
      <c r="H23" s="37"/>
    </row>
    <row r="24" spans="1:8" x14ac:dyDescent="0.25">
      <c r="A24" s="35"/>
      <c r="B24" s="36"/>
      <c r="C24" s="37"/>
      <c r="D24" s="37"/>
      <c r="F24" s="36"/>
      <c r="G24" s="37"/>
      <c r="H24" s="37"/>
    </row>
    <row r="25" spans="1:8" x14ac:dyDescent="0.25">
      <c r="A25" s="35"/>
      <c r="B25" s="36"/>
      <c r="C25" s="37"/>
      <c r="D25" s="37"/>
      <c r="F25" s="36"/>
      <c r="G25" s="37"/>
      <c r="H25" s="37"/>
    </row>
    <row r="26" spans="1:8" x14ac:dyDescent="0.25">
      <c r="A26" s="36"/>
      <c r="B26" s="36"/>
      <c r="C26" s="37"/>
      <c r="D26" s="37"/>
      <c r="F26" s="36"/>
      <c r="G26" s="37"/>
      <c r="H26" s="37"/>
    </row>
    <row r="27" spans="1:8" x14ac:dyDescent="0.25">
      <c r="A27" s="36"/>
      <c r="B27" s="36"/>
      <c r="C27" s="37"/>
      <c r="D27" s="37"/>
      <c r="F27" s="36"/>
      <c r="G27" s="37"/>
      <c r="H27" s="37"/>
    </row>
    <row r="28" spans="1:8" x14ac:dyDescent="0.25">
      <c r="A28" s="36"/>
      <c r="B28" s="36"/>
      <c r="C28" s="37"/>
      <c r="D28" s="37"/>
      <c r="F28" s="36"/>
      <c r="G28" s="37"/>
      <c r="H28" s="37"/>
    </row>
    <row r="29" spans="1:8" x14ac:dyDescent="0.25">
      <c r="A29" s="36"/>
      <c r="B29" s="36"/>
      <c r="C29" s="37"/>
      <c r="D29" s="37"/>
      <c r="F29" s="36"/>
      <c r="G29" s="37"/>
      <c r="H29" s="37"/>
    </row>
    <row r="30" spans="1:8" x14ac:dyDescent="0.25">
      <c r="A30" s="38"/>
      <c r="B30" s="38"/>
      <c r="C30" s="39"/>
      <c r="D30" s="39"/>
      <c r="F30" s="38"/>
      <c r="G30" s="39"/>
      <c r="H30" s="39"/>
    </row>
    <row r="31" spans="1:8" ht="14.25" x14ac:dyDescent="0.3">
      <c r="A31" s="40"/>
      <c r="B31" s="40"/>
      <c r="C31" s="40"/>
      <c r="D31" s="40"/>
      <c r="F31" s="40"/>
      <c r="G31" s="40"/>
      <c r="H31" s="40"/>
    </row>
  </sheetData>
  <dataValidations count="5">
    <dataValidation type="whole" errorStyle="warning" allowBlank="1" showInputMessage="1" showErrorMessage="1" errorTitle="Dépassement de durée" error="Le nombre de minutes introduites dépasse la durée d'une période. Veuillez confirmer ... Le calcul du total sera juste dans tous les cas._x000a_" sqref="F30 B30" xr:uid="{00000000-0002-0000-0300-000000000000}">
      <formula1>0</formula1>
      <formula2>DureePeriode-1</formula2>
    </dataValidation>
    <dataValidation type="whole" errorStyle="warning" operator="greaterThan" allowBlank="1" showInputMessage="1" showErrorMessage="1" errorTitle="Durée en 1/3 de période" error="Le nombre doit être de type entier" sqref="B3:B12 B22:B29 F22:F29" xr:uid="{00000000-0002-0000-0300-000001000000}">
      <formula1>0</formula1>
    </dataValidation>
    <dataValidation type="list" allowBlank="1" showInputMessage="1" showErrorMessage="1" sqref="A22:A29" xr:uid="{00000000-0002-0000-0300-000002000000}">
      <formula1>ListeTaches</formula1>
    </dataValidation>
    <dataValidation type="whole" errorStyle="warning" allowBlank="1" showErrorMessage="1" errorTitle="Dépassement de durée" error="Le nombre de minutes introduites dépasse la durée d'une période. Veuillez confirmer ... Le calcul du total sera juste dans tous les cas._x000a_" sqref="B13" xr:uid="{00000000-0002-0000-0300-000003000000}">
      <formula1>0</formula1>
      <formula2>NbPerWeek * NbQuartPer</formula2>
    </dataValidation>
    <dataValidation type="list" allowBlank="1" showInputMessage="1" showErrorMessage="1" sqref="A3:A12" xr:uid="{00000000-0002-0000-0300-000004000000}">
      <formula1>lstTasks</formula1>
    </dataValidation>
  </dataValidations>
  <pageMargins left="0.7" right="0.7" top="0.75" bottom="0.75" header="0.3" footer="0.3"/>
  <pageSetup paperSize="9" orientation="portrait" r:id="rId1"/>
  <drawing r:id="rId2"/>
  <legacyDrawing r:id="rId3"/>
  <controls>
    <mc:AlternateContent xmlns:mc="http://schemas.openxmlformats.org/markup-compatibility/2006">
      <mc:Choice Requires="x14">
        <control shapeId="18438" r:id="rId4" name="btnImportPlanification">
          <controlPr defaultSize="0" autoLine="0" r:id="rId5">
            <anchor moveWithCells="1">
              <from>
                <xdr:col>4</xdr:col>
                <xdr:colOff>590550</xdr:colOff>
                <xdr:row>0</xdr:row>
                <xdr:rowOff>180975</xdr:rowOff>
              </from>
              <to>
                <xdr:col>7</xdr:col>
                <xdr:colOff>257175</xdr:colOff>
                <xdr:row>2</xdr:row>
                <xdr:rowOff>152400</xdr:rowOff>
              </to>
            </anchor>
          </controlPr>
        </control>
      </mc:Choice>
      <mc:Fallback>
        <control shapeId="18438" r:id="rId4" name="btnImportPlanification"/>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8"/>
  <dimension ref="A1:H36"/>
  <sheetViews>
    <sheetView workbookViewId="0">
      <selection activeCell="C28" sqref="C28"/>
    </sheetView>
  </sheetViews>
  <sheetFormatPr baseColWidth="10" defaultColWidth="11.42578125" defaultRowHeight="13.5" x14ac:dyDescent="0.25"/>
  <cols>
    <col min="1" max="1" width="21.42578125" style="20" customWidth="1"/>
    <col min="2" max="2" width="8.5703125" style="20" customWidth="1"/>
    <col min="3" max="3" width="87" style="20" customWidth="1"/>
    <col min="4" max="4" width="44.140625" style="20" customWidth="1"/>
    <col min="5" max="16384" width="11.42578125" style="20"/>
  </cols>
  <sheetData>
    <row r="1" spans="1:4" ht="18.75" thickBot="1" x14ac:dyDescent="0.3">
      <c r="A1" s="42" t="s">
        <v>14</v>
      </c>
      <c r="B1" s="43">
        <v>1</v>
      </c>
      <c r="C1" s="44" t="s">
        <v>23</v>
      </c>
      <c r="D1" s="53"/>
    </row>
    <row r="2" spans="1:4" ht="27.75" thickBot="1" x14ac:dyDescent="0.3">
      <c r="A2" s="45" t="s">
        <v>3</v>
      </c>
      <c r="B2" s="46" t="s">
        <v>15</v>
      </c>
      <c r="C2" s="45" t="s">
        <v>7</v>
      </c>
      <c r="D2" s="45" t="s">
        <v>13</v>
      </c>
    </row>
    <row r="3" spans="1:4" s="52" customFormat="1" x14ac:dyDescent="0.25">
      <c r="A3" s="5"/>
      <c r="B3" s="4"/>
      <c r="C3" s="9"/>
      <c r="D3" s="9"/>
    </row>
    <row r="4" spans="1:4" s="52" customFormat="1" x14ac:dyDescent="0.25">
      <c r="A4" s="1"/>
      <c r="B4" s="2"/>
      <c r="C4" s="10"/>
      <c r="D4" s="10"/>
    </row>
    <row r="5" spans="1:4" s="52" customFormat="1" x14ac:dyDescent="0.25">
      <c r="A5" s="1"/>
      <c r="B5" s="2"/>
      <c r="C5" s="10"/>
      <c r="D5" s="10"/>
    </row>
    <row r="6" spans="1:4" s="52" customFormat="1" x14ac:dyDescent="0.25">
      <c r="A6" s="1"/>
      <c r="B6" s="2"/>
      <c r="C6" s="10"/>
      <c r="D6" s="10"/>
    </row>
    <row r="7" spans="1:4" s="52" customFormat="1" x14ac:dyDescent="0.25">
      <c r="A7" s="1"/>
      <c r="B7" s="2"/>
      <c r="C7" s="10"/>
      <c r="D7" s="10"/>
    </row>
    <row r="8" spans="1:4" s="52" customFormat="1" x14ac:dyDescent="0.25">
      <c r="A8" s="1"/>
      <c r="B8" s="2"/>
      <c r="C8" s="10"/>
      <c r="D8" s="10"/>
    </row>
    <row r="9" spans="1:4" s="52" customFormat="1" x14ac:dyDescent="0.25">
      <c r="A9" s="1"/>
      <c r="B9" s="2"/>
      <c r="C9" s="10"/>
      <c r="D9" s="10"/>
    </row>
    <row r="10" spans="1:4" s="52" customFormat="1" x14ac:dyDescent="0.25">
      <c r="A10" s="1"/>
      <c r="B10" s="2"/>
      <c r="C10" s="10"/>
      <c r="D10" s="10"/>
    </row>
    <row r="11" spans="1:4" s="52" customFormat="1" x14ac:dyDescent="0.25">
      <c r="A11" s="1"/>
      <c r="B11" s="2"/>
      <c r="C11" s="10"/>
      <c r="D11" s="10"/>
    </row>
    <row r="12" spans="1:4" s="52" customFormat="1" x14ac:dyDescent="0.25">
      <c r="A12" s="2"/>
      <c r="B12" s="2"/>
      <c r="C12" s="10"/>
      <c r="D12" s="10"/>
    </row>
    <row r="13" spans="1:4" s="52" customFormat="1" x14ac:dyDescent="0.25">
      <c r="A13" s="2"/>
      <c r="B13" s="2"/>
      <c r="C13" s="10"/>
      <c r="D13" s="10"/>
    </row>
    <row r="14" spans="1:4" s="52" customFormat="1" x14ac:dyDescent="0.25">
      <c r="A14" s="2"/>
      <c r="B14" s="2"/>
      <c r="C14" s="10"/>
      <c r="D14" s="10"/>
    </row>
    <row r="15" spans="1:4" s="52" customFormat="1" x14ac:dyDescent="0.25">
      <c r="A15" s="50"/>
      <c r="B15" s="50"/>
      <c r="C15" s="51"/>
      <c r="D15" s="51"/>
    </row>
    <row r="16" spans="1:4" s="52" customFormat="1" x14ac:dyDescent="0.25">
      <c r="A16" s="50"/>
      <c r="B16" s="50"/>
      <c r="C16" s="51"/>
      <c r="D16" s="51"/>
    </row>
    <row r="17" spans="1:8" s="52" customFormat="1" ht="14.25" thickBot="1" x14ac:dyDescent="0.3">
      <c r="A17" s="3"/>
      <c r="B17" s="3"/>
      <c r="C17" s="11"/>
      <c r="D17" s="11"/>
    </row>
    <row r="18" spans="1:8" ht="14.25" thickBot="1" x14ac:dyDescent="0.3">
      <c r="A18" s="47" t="s">
        <v>22</v>
      </c>
      <c r="B18" s="47">
        <f>SUM(B3:B17)</f>
        <v>0</v>
      </c>
      <c r="C18" s="48"/>
      <c r="D18" s="48"/>
    </row>
    <row r="19" spans="1:8" ht="14.25" x14ac:dyDescent="0.3">
      <c r="A19" s="49"/>
      <c r="B19" s="49"/>
      <c r="C19" s="49"/>
      <c r="D19" s="49"/>
    </row>
    <row r="25" spans="1:8" ht="12.75" customHeight="1" x14ac:dyDescent="0.25">
      <c r="A25" s="30"/>
      <c r="B25" s="31"/>
      <c r="C25" s="32"/>
      <c r="D25" s="33"/>
      <c r="F25" s="31"/>
      <c r="G25" s="32"/>
      <c r="H25" s="33"/>
    </row>
    <row r="26" spans="1:8" ht="15" x14ac:dyDescent="0.25">
      <c r="A26" s="30"/>
      <c r="B26" s="34"/>
      <c r="C26" s="30"/>
      <c r="D26" s="30"/>
      <c r="F26" s="34"/>
      <c r="G26" s="30"/>
      <c r="H26" s="30"/>
    </row>
    <row r="27" spans="1:8" x14ac:dyDescent="0.25">
      <c r="A27" s="35"/>
      <c r="B27" s="36"/>
      <c r="C27" s="37"/>
      <c r="D27" s="37"/>
      <c r="F27" s="36"/>
      <c r="G27" s="37"/>
      <c r="H27" s="37"/>
    </row>
    <row r="28" spans="1:8" x14ac:dyDescent="0.25">
      <c r="A28" s="35"/>
      <c r="B28" s="36"/>
      <c r="C28" s="37"/>
      <c r="D28" s="37"/>
      <c r="F28" s="36"/>
      <c r="G28" s="37"/>
      <c r="H28" s="37"/>
    </row>
    <row r="29" spans="1:8" x14ac:dyDescent="0.25">
      <c r="A29" s="35"/>
      <c r="B29" s="36"/>
      <c r="C29" s="37"/>
      <c r="D29" s="37"/>
      <c r="F29" s="36"/>
      <c r="G29" s="37"/>
      <c r="H29" s="37"/>
    </row>
    <row r="30" spans="1:8" x14ac:dyDescent="0.25">
      <c r="A30" s="35"/>
      <c r="B30" s="36"/>
      <c r="C30" s="37"/>
      <c r="D30" s="37"/>
      <c r="F30" s="36"/>
      <c r="G30" s="37"/>
      <c r="H30" s="37"/>
    </row>
    <row r="31" spans="1:8" x14ac:dyDescent="0.25">
      <c r="A31" s="36"/>
      <c r="B31" s="36"/>
      <c r="C31" s="37"/>
      <c r="D31" s="37"/>
      <c r="F31" s="36"/>
      <c r="G31" s="37"/>
      <c r="H31" s="37"/>
    </row>
    <row r="32" spans="1:8" x14ac:dyDescent="0.25">
      <c r="A32" s="36"/>
      <c r="B32" s="36"/>
      <c r="C32" s="37"/>
      <c r="D32" s="37"/>
      <c r="F32" s="36"/>
      <c r="G32" s="37"/>
      <c r="H32" s="37"/>
    </row>
    <row r="33" spans="1:8" x14ac:dyDescent="0.25">
      <c r="A33" s="36"/>
      <c r="B33" s="36"/>
      <c r="C33" s="37"/>
      <c r="D33" s="37"/>
      <c r="F33" s="36"/>
      <c r="G33" s="37"/>
      <c r="H33" s="37"/>
    </row>
    <row r="34" spans="1:8" x14ac:dyDescent="0.25">
      <c r="A34" s="36"/>
      <c r="B34" s="36"/>
      <c r="C34" s="37"/>
      <c r="D34" s="37"/>
      <c r="F34" s="36"/>
      <c r="G34" s="37"/>
      <c r="H34" s="37"/>
    </row>
    <row r="35" spans="1:8" x14ac:dyDescent="0.25">
      <c r="A35" s="38"/>
      <c r="B35" s="38"/>
      <c r="C35" s="39"/>
      <c r="D35" s="39"/>
      <c r="F35" s="38"/>
      <c r="G35" s="39"/>
      <c r="H35" s="39"/>
    </row>
    <row r="36" spans="1:8" ht="14.25" x14ac:dyDescent="0.3">
      <c r="A36" s="40"/>
      <c r="B36" s="40"/>
      <c r="C36" s="40"/>
      <c r="D36" s="40"/>
      <c r="F36" s="40"/>
      <c r="G36" s="40"/>
      <c r="H36" s="40"/>
    </row>
  </sheetData>
  <dataValidations count="5">
    <dataValidation type="list" allowBlank="1" showInputMessage="1" showErrorMessage="1" sqref="A3:A17" xr:uid="{00000000-0002-0000-0400-000000000000}">
      <formula1>lstTasks</formula1>
    </dataValidation>
    <dataValidation type="whole" errorStyle="warning" allowBlank="1" showErrorMessage="1" errorTitle="Dépassement de durée" error="Le nombre de minutes introduites dépasse la durée d'une période. Veuillez confirmer ... Le calcul du total sera juste dans tous les cas._x000a_" sqref="B18" xr:uid="{00000000-0002-0000-0400-000001000000}">
      <formula1>0</formula1>
      <formula2>NbPerWeek * NbQuartPer</formula2>
    </dataValidation>
    <dataValidation type="list" allowBlank="1" showInputMessage="1" showErrorMessage="1" sqref="A27:A34" xr:uid="{00000000-0002-0000-0400-000002000000}">
      <formula1>ListeTaches</formula1>
    </dataValidation>
    <dataValidation type="whole" errorStyle="warning" operator="greaterThan" allowBlank="1" showInputMessage="1" showErrorMessage="1" errorTitle="Durée en 1/3 de période" error="Le nombre doit être de type entier" sqref="F27:F34 B27:B34 B3:B17" xr:uid="{00000000-0002-0000-0400-000003000000}">
      <formula1>0</formula1>
    </dataValidation>
    <dataValidation type="whole" errorStyle="warning" allowBlank="1" showInputMessage="1" showErrorMessage="1" errorTitle="Dépassement de durée" error="Le nombre de minutes introduites dépasse la durée d'une période. Veuillez confirmer ... Le calcul du total sera juste dans tous les cas._x000a_" sqref="F35 B35" xr:uid="{00000000-0002-0000-0400-000004000000}">
      <formula1>0</formula1>
      <formula2>DureePeriode-1</formula2>
    </dataValidation>
  </dataValidations>
  <pageMargins left="0.7" right="0.7" top="0.75" bottom="0.75" header="0.3" footer="0.3"/>
  <pageSetup paperSize="9" orientation="portrait" r:id="rId1"/>
  <drawing r:id="rId2"/>
  <legacyDrawing r:id="rId3"/>
  <controls>
    <mc:AlternateContent xmlns:mc="http://schemas.openxmlformats.org/markup-compatibility/2006">
      <mc:Choice Requires="x14">
        <control shapeId="38913" r:id="rId4" name="btnImportRealisation">
          <controlPr defaultSize="0" autoLine="0" r:id="rId5">
            <anchor moveWithCells="1">
              <from>
                <xdr:col>4</xdr:col>
                <xdr:colOff>590550</xdr:colOff>
                <xdr:row>0</xdr:row>
                <xdr:rowOff>180975</xdr:rowOff>
              </from>
              <to>
                <xdr:col>7</xdr:col>
                <xdr:colOff>257175</xdr:colOff>
                <xdr:row>2</xdr:row>
                <xdr:rowOff>152400</xdr:rowOff>
              </to>
            </anchor>
          </controlPr>
        </control>
      </mc:Choice>
      <mc:Fallback>
        <control shapeId="38913" r:id="rId4" name="btnImportRealisation"/>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FAF2F-C534-499F-8C25-95E6F074E70C}">
  <sheetPr codeName="Feuil9"/>
  <dimension ref="A1:H154"/>
  <sheetViews>
    <sheetView tabSelected="1" topLeftCell="A40" workbookViewId="0">
      <selection activeCell="C62" sqref="C62"/>
    </sheetView>
  </sheetViews>
  <sheetFormatPr baseColWidth="10" defaultColWidth="11.42578125" defaultRowHeight="13.5" x14ac:dyDescent="0.25"/>
  <cols>
    <col min="1" max="1" width="21.42578125" style="20" customWidth="1"/>
    <col min="2" max="2" width="8.5703125" style="20" customWidth="1"/>
    <col min="3" max="3" width="87" style="20" customWidth="1"/>
    <col min="4" max="4" width="48.28515625" style="20" customWidth="1"/>
    <col min="5" max="16384" width="11.42578125" style="20"/>
  </cols>
  <sheetData>
    <row r="1" spans="1:4" ht="18.75" thickBot="1" x14ac:dyDescent="0.3">
      <c r="A1" s="42" t="s">
        <v>14</v>
      </c>
      <c r="B1" s="43">
        <v>1</v>
      </c>
      <c r="C1" s="44" t="s">
        <v>23</v>
      </c>
      <c r="D1" s="53">
        <f>Donnees!$C$9</f>
        <v>45964</v>
      </c>
    </row>
    <row r="2" spans="1:4" ht="27.75" thickBot="1" x14ac:dyDescent="0.3">
      <c r="A2" s="45" t="s">
        <v>3</v>
      </c>
      <c r="B2" s="46" t="s">
        <v>15</v>
      </c>
      <c r="C2" s="45" t="s">
        <v>7</v>
      </c>
      <c r="D2" s="45" t="s">
        <v>13</v>
      </c>
    </row>
    <row r="3" spans="1:4" s="52" customFormat="1" ht="54" x14ac:dyDescent="0.25">
      <c r="A3" s="5" t="s">
        <v>31</v>
      </c>
      <c r="B3" s="4">
        <v>2</v>
      </c>
      <c r="C3" s="88" t="s">
        <v>58</v>
      </c>
      <c r="D3" s="9"/>
    </row>
    <row r="4" spans="1:4" s="52" customFormat="1" ht="27" x14ac:dyDescent="0.25">
      <c r="A4" s="1" t="s">
        <v>32</v>
      </c>
      <c r="B4" s="2">
        <v>1</v>
      </c>
      <c r="C4" s="89" t="s">
        <v>57</v>
      </c>
      <c r="D4" s="10"/>
    </row>
    <row r="5" spans="1:4" s="52" customFormat="1" ht="127.5" x14ac:dyDescent="0.25">
      <c r="A5" s="1" t="s">
        <v>33</v>
      </c>
      <c r="B5" s="2">
        <v>5</v>
      </c>
      <c r="C5" s="89" t="s">
        <v>56</v>
      </c>
      <c r="D5" s="93" t="s">
        <v>38</v>
      </c>
    </row>
    <row r="6" spans="1:4" s="52" customFormat="1" ht="54" x14ac:dyDescent="0.25">
      <c r="A6" s="1" t="s">
        <v>34</v>
      </c>
      <c r="B6" s="2">
        <v>1</v>
      </c>
      <c r="C6" s="89" t="s">
        <v>36</v>
      </c>
      <c r="D6" s="10" t="s">
        <v>37</v>
      </c>
    </row>
    <row r="7" spans="1:4" s="52" customFormat="1" x14ac:dyDescent="0.25">
      <c r="A7" s="1"/>
      <c r="B7" s="2"/>
      <c r="C7" s="10"/>
      <c r="D7" s="10"/>
    </row>
    <row r="8" spans="1:4" s="52" customFormat="1" x14ac:dyDescent="0.25">
      <c r="A8" s="1"/>
      <c r="B8" s="2"/>
      <c r="C8" s="10"/>
      <c r="D8" s="10"/>
    </row>
    <row r="9" spans="1:4" s="52" customFormat="1" x14ac:dyDescent="0.25">
      <c r="A9" s="1"/>
      <c r="B9" s="2"/>
      <c r="C9" s="10"/>
      <c r="D9" s="10"/>
    </row>
    <row r="10" spans="1:4" s="52" customFormat="1" x14ac:dyDescent="0.25">
      <c r="A10" s="1"/>
      <c r="B10" s="2"/>
      <c r="C10" s="10"/>
      <c r="D10" s="10"/>
    </row>
    <row r="11" spans="1:4" s="52" customFormat="1" x14ac:dyDescent="0.25">
      <c r="A11" s="1"/>
      <c r="B11" s="2"/>
      <c r="C11" s="10"/>
      <c r="D11" s="10"/>
    </row>
    <row r="12" spans="1:4" s="52" customFormat="1" x14ac:dyDescent="0.25">
      <c r="A12" s="2"/>
      <c r="B12" s="2"/>
      <c r="C12" s="10"/>
      <c r="D12" s="10"/>
    </row>
    <row r="13" spans="1:4" s="52" customFormat="1" x14ac:dyDescent="0.25">
      <c r="A13" s="2"/>
      <c r="B13" s="2"/>
      <c r="C13" s="10"/>
      <c r="D13" s="10"/>
    </row>
    <row r="14" spans="1:4" s="52" customFormat="1" x14ac:dyDescent="0.25">
      <c r="A14" s="2"/>
      <c r="B14" s="2"/>
      <c r="C14" s="10"/>
      <c r="D14" s="10"/>
    </row>
    <row r="15" spans="1:4" s="52" customFormat="1" x14ac:dyDescent="0.25">
      <c r="A15" s="50"/>
      <c r="B15" s="50"/>
      <c r="C15" s="51"/>
      <c r="D15" s="51"/>
    </row>
    <row r="16" spans="1:4" s="52" customFormat="1" x14ac:dyDescent="0.25">
      <c r="A16" s="50"/>
      <c r="B16" s="50"/>
      <c r="C16" s="51"/>
      <c r="D16" s="51"/>
    </row>
    <row r="17" spans="1:8" s="52" customFormat="1" ht="14.25" thickBot="1" x14ac:dyDescent="0.3">
      <c r="A17" s="3"/>
      <c r="B17" s="3"/>
      <c r="C17" s="11"/>
      <c r="D17" s="11"/>
    </row>
    <row r="18" spans="1:8" ht="14.25" thickBot="1" x14ac:dyDescent="0.3">
      <c r="A18" s="47" t="s">
        <v>22</v>
      </c>
      <c r="B18" s="47">
        <f>SUM(B3:B17)</f>
        <v>9</v>
      </c>
      <c r="C18" s="87" t="s">
        <v>28</v>
      </c>
      <c r="D18" s="48"/>
    </row>
    <row r="19" spans="1:8" ht="15" thickBot="1" x14ac:dyDescent="0.35">
      <c r="A19" s="49"/>
      <c r="B19" s="49"/>
      <c r="C19" s="49"/>
      <c r="D19" s="49"/>
    </row>
    <row r="20" spans="1:8" ht="18.75" thickBot="1" x14ac:dyDescent="0.3">
      <c r="A20" s="42" t="s">
        <v>14</v>
      </c>
      <c r="B20" s="43">
        <v>2</v>
      </c>
      <c r="C20" s="44" t="s">
        <v>23</v>
      </c>
      <c r="D20" s="53">
        <f>$D$1+7</f>
        <v>45971</v>
      </c>
    </row>
    <row r="21" spans="1:8" ht="27.75" thickBot="1" x14ac:dyDescent="0.3">
      <c r="A21" s="45" t="s">
        <v>3</v>
      </c>
      <c r="B21" s="46" t="s">
        <v>15</v>
      </c>
      <c r="C21" s="45" t="s">
        <v>7</v>
      </c>
      <c r="D21" s="45" t="s">
        <v>13</v>
      </c>
    </row>
    <row r="22" spans="1:8" ht="15.75" thickBot="1" x14ac:dyDescent="0.3">
      <c r="A22" s="96"/>
      <c r="B22" s="97"/>
      <c r="C22" s="96" t="s">
        <v>47</v>
      </c>
      <c r="D22" s="96"/>
    </row>
    <row r="23" spans="1:8" x14ac:dyDescent="0.25">
      <c r="A23" s="5" t="s">
        <v>39</v>
      </c>
      <c r="B23" s="4">
        <v>1</v>
      </c>
      <c r="C23" s="88" t="s">
        <v>40</v>
      </c>
      <c r="D23" s="9" t="s">
        <v>41</v>
      </c>
    </row>
    <row r="24" spans="1:8" ht="54" x14ac:dyDescent="0.25">
      <c r="A24" s="1" t="s">
        <v>42</v>
      </c>
      <c r="B24" s="2">
        <v>1</v>
      </c>
      <c r="C24" s="89" t="s">
        <v>55</v>
      </c>
      <c r="D24" s="10"/>
    </row>
    <row r="25" spans="1:8" ht="94.5" x14ac:dyDescent="0.25">
      <c r="A25" s="1" t="s">
        <v>43</v>
      </c>
      <c r="B25" s="2">
        <v>2</v>
      </c>
      <c r="C25" s="95" t="s">
        <v>54</v>
      </c>
      <c r="D25" s="10"/>
    </row>
    <row r="26" spans="1:8" ht="69.75" customHeight="1" x14ac:dyDescent="0.25">
      <c r="A26" s="1" t="s">
        <v>44</v>
      </c>
      <c r="B26" s="2">
        <v>1</v>
      </c>
      <c r="C26" s="95" t="s">
        <v>45</v>
      </c>
      <c r="D26" s="10"/>
      <c r="F26" s="31"/>
      <c r="G26" s="32"/>
      <c r="H26" s="33"/>
    </row>
    <row r="27" spans="1:8" ht="40.5" x14ac:dyDescent="0.25">
      <c r="A27" s="1" t="s">
        <v>46</v>
      </c>
      <c r="B27" s="2">
        <v>2</v>
      </c>
      <c r="C27" s="95" t="s">
        <v>48</v>
      </c>
      <c r="D27" s="10"/>
      <c r="F27" s="34"/>
      <c r="G27" s="30"/>
      <c r="H27" s="30"/>
    </row>
    <row r="28" spans="1:8" ht="27" x14ac:dyDescent="0.25">
      <c r="A28" s="1" t="s">
        <v>49</v>
      </c>
      <c r="B28" s="2">
        <v>2</v>
      </c>
      <c r="C28" s="95" t="s">
        <v>53</v>
      </c>
      <c r="D28" s="10"/>
      <c r="F28" s="36"/>
      <c r="G28" s="37"/>
      <c r="H28" s="37"/>
    </row>
    <row r="29" spans="1:8" x14ac:dyDescent="0.25">
      <c r="A29" s="1"/>
      <c r="B29" s="2"/>
      <c r="C29" s="10"/>
      <c r="D29" s="10"/>
      <c r="F29" s="36"/>
      <c r="G29" s="37"/>
      <c r="H29" s="37"/>
    </row>
    <row r="30" spans="1:8" x14ac:dyDescent="0.25">
      <c r="A30" s="1"/>
      <c r="B30" s="2"/>
      <c r="C30" s="10"/>
      <c r="D30" s="10"/>
      <c r="F30" s="36"/>
      <c r="G30" s="37"/>
      <c r="H30" s="37"/>
    </row>
    <row r="31" spans="1:8" x14ac:dyDescent="0.25">
      <c r="A31" s="1"/>
      <c r="B31" s="2"/>
      <c r="C31" s="10"/>
      <c r="D31" s="10"/>
      <c r="F31" s="36"/>
      <c r="G31" s="37"/>
      <c r="H31" s="37"/>
    </row>
    <row r="32" spans="1:8" x14ac:dyDescent="0.25">
      <c r="A32" s="2"/>
      <c r="B32" s="2"/>
      <c r="C32" s="10"/>
      <c r="D32" s="10"/>
      <c r="F32" s="36"/>
      <c r="G32" s="37"/>
      <c r="H32" s="37"/>
    </row>
    <row r="33" spans="1:8" x14ac:dyDescent="0.25">
      <c r="A33" s="2"/>
      <c r="B33" s="2"/>
      <c r="C33" s="10"/>
      <c r="D33" s="10"/>
      <c r="F33" s="36"/>
      <c r="G33" s="37"/>
      <c r="H33" s="37"/>
    </row>
    <row r="34" spans="1:8" x14ac:dyDescent="0.25">
      <c r="A34" s="2"/>
      <c r="B34" s="2"/>
      <c r="C34" s="10"/>
      <c r="D34" s="10"/>
      <c r="F34" s="36"/>
      <c r="G34" s="37"/>
      <c r="H34" s="37"/>
    </row>
    <row r="35" spans="1:8" x14ac:dyDescent="0.25">
      <c r="A35" s="50"/>
      <c r="B35" s="50"/>
      <c r="C35" s="51"/>
      <c r="D35" s="51"/>
      <c r="F35" s="36"/>
      <c r="G35" s="37"/>
      <c r="H35" s="37"/>
    </row>
    <row r="36" spans="1:8" x14ac:dyDescent="0.25">
      <c r="A36" s="50"/>
      <c r="B36" s="50"/>
      <c r="C36" s="51"/>
      <c r="D36" s="51"/>
      <c r="F36" s="38"/>
      <c r="G36" s="39"/>
      <c r="H36" s="39"/>
    </row>
    <row r="37" spans="1:8" ht="15" thickBot="1" x14ac:dyDescent="0.35">
      <c r="A37" s="3"/>
      <c r="B37" s="3"/>
      <c r="C37" s="11"/>
      <c r="D37" s="11"/>
      <c r="F37" s="40"/>
      <c r="G37" s="40"/>
      <c r="H37" s="40"/>
    </row>
    <row r="38" spans="1:8" ht="14.25" thickBot="1" x14ac:dyDescent="0.3">
      <c r="A38" s="47" t="s">
        <v>22</v>
      </c>
      <c r="B38" s="47">
        <f>SUM(B23:B37)</f>
        <v>9</v>
      </c>
      <c r="C38" s="87" t="s">
        <v>28</v>
      </c>
      <c r="D38" s="48"/>
    </row>
    <row r="39" spans="1:8" ht="15" thickBot="1" x14ac:dyDescent="0.35">
      <c r="A39" s="49"/>
      <c r="B39" s="49"/>
      <c r="C39" s="49"/>
      <c r="D39" s="49"/>
    </row>
    <row r="40" spans="1:8" ht="18.75" thickBot="1" x14ac:dyDescent="0.3">
      <c r="A40" s="42" t="s">
        <v>14</v>
      </c>
      <c r="B40" s="43">
        <v>3</v>
      </c>
      <c r="C40" s="44" t="s">
        <v>23</v>
      </c>
      <c r="D40" s="53">
        <f>$D$20+7</f>
        <v>45978</v>
      </c>
    </row>
    <row r="41" spans="1:8" ht="27.75" thickBot="1" x14ac:dyDescent="0.3">
      <c r="A41" s="45" t="s">
        <v>3</v>
      </c>
      <c r="B41" s="46" t="s">
        <v>15</v>
      </c>
      <c r="C41" s="45" t="s">
        <v>7</v>
      </c>
      <c r="D41" s="45" t="s">
        <v>13</v>
      </c>
    </row>
    <row r="42" spans="1:8" ht="27" x14ac:dyDescent="0.25">
      <c r="A42" s="5" t="s">
        <v>49</v>
      </c>
      <c r="B42" s="4">
        <v>2</v>
      </c>
      <c r="C42" s="95" t="s">
        <v>52</v>
      </c>
      <c r="D42" s="9"/>
    </row>
    <row r="43" spans="1:8" ht="27" x14ac:dyDescent="0.25">
      <c r="A43" s="1" t="s">
        <v>50</v>
      </c>
      <c r="B43" s="2">
        <v>1</v>
      </c>
      <c r="C43" s="95" t="s">
        <v>51</v>
      </c>
      <c r="D43" s="10"/>
    </row>
    <row r="44" spans="1:8" ht="40.5" x14ac:dyDescent="0.25">
      <c r="A44" s="1" t="s">
        <v>59</v>
      </c>
      <c r="B44" s="2">
        <v>1</v>
      </c>
      <c r="C44" s="95" t="s">
        <v>63</v>
      </c>
      <c r="D44" s="10"/>
    </row>
    <row r="45" spans="1:8" ht="54" x14ac:dyDescent="0.25">
      <c r="A45" s="1" t="s">
        <v>60</v>
      </c>
      <c r="B45" s="2">
        <v>2</v>
      </c>
      <c r="C45" s="95" t="s">
        <v>64</v>
      </c>
      <c r="D45" s="10"/>
    </row>
    <row r="46" spans="1:8" ht="40.5" x14ac:dyDescent="0.25">
      <c r="A46" s="1" t="s">
        <v>61</v>
      </c>
      <c r="B46" s="2">
        <v>2</v>
      </c>
      <c r="C46" s="95" t="s">
        <v>65</v>
      </c>
      <c r="D46" s="10"/>
    </row>
    <row r="47" spans="1:8" ht="27" x14ac:dyDescent="0.25">
      <c r="A47" s="1" t="s">
        <v>62</v>
      </c>
      <c r="B47" s="2">
        <v>1</v>
      </c>
      <c r="C47" s="95" t="s">
        <v>66</v>
      </c>
      <c r="D47" s="10"/>
    </row>
    <row r="48" spans="1:8" x14ac:dyDescent="0.25">
      <c r="A48" s="1"/>
      <c r="B48" s="2"/>
      <c r="C48" s="10"/>
      <c r="D48" s="10"/>
    </row>
    <row r="49" spans="1:4" x14ac:dyDescent="0.25">
      <c r="A49" s="1"/>
      <c r="B49" s="2"/>
      <c r="C49" s="10"/>
      <c r="D49" s="10"/>
    </row>
    <row r="50" spans="1:4" x14ac:dyDescent="0.25">
      <c r="A50" s="1"/>
      <c r="B50" s="2"/>
      <c r="C50" s="10"/>
      <c r="D50" s="10"/>
    </row>
    <row r="51" spans="1:4" x14ac:dyDescent="0.25">
      <c r="A51" s="2"/>
      <c r="B51" s="2"/>
      <c r="C51" s="10"/>
      <c r="D51" s="10"/>
    </row>
    <row r="52" spans="1:4" x14ac:dyDescent="0.25">
      <c r="A52" s="2"/>
      <c r="B52" s="2"/>
      <c r="C52" s="10"/>
      <c r="D52" s="10"/>
    </row>
    <row r="53" spans="1:4" x14ac:dyDescent="0.25">
      <c r="A53" s="2"/>
      <c r="B53" s="2"/>
      <c r="C53" s="10"/>
      <c r="D53" s="10"/>
    </row>
    <row r="54" spans="1:4" x14ac:dyDescent="0.25">
      <c r="A54" s="50"/>
      <c r="B54" s="50"/>
      <c r="C54" s="51"/>
      <c r="D54" s="51"/>
    </row>
    <row r="55" spans="1:4" x14ac:dyDescent="0.25">
      <c r="A55" s="50"/>
      <c r="B55" s="50"/>
      <c r="C55" s="51"/>
      <c r="D55" s="51"/>
    </row>
    <row r="56" spans="1:4" ht="14.25" thickBot="1" x14ac:dyDescent="0.3">
      <c r="A56" s="3"/>
      <c r="B56" s="3"/>
      <c r="C56" s="11"/>
      <c r="D56" s="11"/>
    </row>
    <row r="57" spans="1:4" ht="14.25" thickBot="1" x14ac:dyDescent="0.3">
      <c r="A57" s="47" t="s">
        <v>22</v>
      </c>
      <c r="B57" s="47">
        <f>SUM(B42:B56)</f>
        <v>9</v>
      </c>
      <c r="C57" s="87" t="s">
        <v>28</v>
      </c>
      <c r="D57" s="48"/>
    </row>
    <row r="58" spans="1:4" ht="15" thickBot="1" x14ac:dyDescent="0.35">
      <c r="A58" s="49"/>
      <c r="B58" s="49"/>
      <c r="C58" s="49"/>
      <c r="D58" s="49"/>
    </row>
    <row r="59" spans="1:4" ht="18.75" thickBot="1" x14ac:dyDescent="0.3">
      <c r="A59" s="42" t="s">
        <v>14</v>
      </c>
      <c r="B59" s="43">
        <v>4</v>
      </c>
      <c r="C59" s="44" t="s">
        <v>23</v>
      </c>
      <c r="D59" s="53">
        <f>$D$40+7</f>
        <v>45985</v>
      </c>
    </row>
    <row r="60" spans="1:4" ht="27.75" thickBot="1" x14ac:dyDescent="0.3">
      <c r="A60" s="45" t="s">
        <v>3</v>
      </c>
      <c r="B60" s="46" t="s">
        <v>15</v>
      </c>
      <c r="C60" s="45" t="s">
        <v>7</v>
      </c>
      <c r="D60" s="45" t="s">
        <v>13</v>
      </c>
    </row>
    <row r="61" spans="1:4" x14ac:dyDescent="0.25">
      <c r="A61" s="5" t="s">
        <v>62</v>
      </c>
      <c r="B61" s="4"/>
      <c r="C61" s="88"/>
      <c r="D61" s="90"/>
    </row>
    <row r="62" spans="1:4" ht="27" x14ac:dyDescent="0.25">
      <c r="A62" s="1" t="s">
        <v>49</v>
      </c>
      <c r="B62" s="2"/>
      <c r="C62" s="10"/>
      <c r="D62" s="10"/>
    </row>
    <row r="63" spans="1:4" x14ac:dyDescent="0.25">
      <c r="A63" s="1"/>
      <c r="B63" s="2"/>
      <c r="C63" s="10"/>
      <c r="D63" s="10"/>
    </row>
    <row r="64" spans="1:4" x14ac:dyDescent="0.25">
      <c r="A64" s="1"/>
      <c r="B64" s="2"/>
      <c r="C64" s="10"/>
      <c r="D64" s="10"/>
    </row>
    <row r="65" spans="1:4" x14ac:dyDescent="0.25">
      <c r="A65" s="1"/>
      <c r="B65" s="2"/>
      <c r="C65" s="10"/>
      <c r="D65" s="10"/>
    </row>
    <row r="66" spans="1:4" x14ac:dyDescent="0.25">
      <c r="A66" s="1"/>
      <c r="B66" s="2"/>
      <c r="C66" s="10"/>
      <c r="D66" s="10"/>
    </row>
    <row r="67" spans="1:4" x14ac:dyDescent="0.25">
      <c r="A67" s="1"/>
      <c r="B67" s="2"/>
      <c r="C67" s="10"/>
      <c r="D67" s="10"/>
    </row>
    <row r="68" spans="1:4" x14ac:dyDescent="0.25">
      <c r="A68" s="1"/>
      <c r="B68" s="2"/>
      <c r="C68" s="10"/>
      <c r="D68" s="10"/>
    </row>
    <row r="69" spans="1:4" x14ac:dyDescent="0.25">
      <c r="A69" s="1"/>
      <c r="B69" s="2"/>
      <c r="C69" s="10"/>
      <c r="D69" s="10"/>
    </row>
    <row r="70" spans="1:4" x14ac:dyDescent="0.25">
      <c r="A70" s="2"/>
      <c r="B70" s="2"/>
      <c r="C70" s="10"/>
      <c r="D70" s="10"/>
    </row>
    <row r="71" spans="1:4" x14ac:dyDescent="0.25">
      <c r="A71" s="2"/>
      <c r="B71" s="2"/>
      <c r="C71" s="10"/>
      <c r="D71" s="10"/>
    </row>
    <row r="72" spans="1:4" x14ac:dyDescent="0.25">
      <c r="A72" s="2"/>
      <c r="B72" s="2"/>
      <c r="C72" s="10"/>
      <c r="D72" s="10"/>
    </row>
    <row r="73" spans="1:4" x14ac:dyDescent="0.25">
      <c r="A73" s="50"/>
      <c r="B73" s="50"/>
      <c r="C73" s="51"/>
      <c r="D73" s="51"/>
    </row>
    <row r="74" spans="1:4" x14ac:dyDescent="0.25">
      <c r="A74" s="50"/>
      <c r="B74" s="50"/>
      <c r="C74" s="51"/>
      <c r="D74" s="51"/>
    </row>
    <row r="75" spans="1:4" ht="14.25" thickBot="1" x14ac:dyDescent="0.3">
      <c r="A75" s="3"/>
      <c r="B75" s="3"/>
      <c r="C75" s="11"/>
      <c r="D75" s="11"/>
    </row>
    <row r="76" spans="1:4" ht="14.25" thickBot="1" x14ac:dyDescent="0.3">
      <c r="A76" s="47" t="s">
        <v>22</v>
      </c>
      <c r="B76" s="47">
        <f>SUM(B61:B75)</f>
        <v>0</v>
      </c>
      <c r="C76" s="87" t="s">
        <v>28</v>
      </c>
      <c r="D76" s="48"/>
    </row>
    <row r="77" spans="1:4" ht="15" thickBot="1" x14ac:dyDescent="0.35">
      <c r="A77" s="49"/>
      <c r="B77" s="49"/>
      <c r="C77" s="49"/>
      <c r="D77" s="49"/>
    </row>
    <row r="78" spans="1:4" ht="18.75" thickBot="1" x14ac:dyDescent="0.3">
      <c r="A78" s="42" t="s">
        <v>14</v>
      </c>
      <c r="B78" s="43">
        <v>5</v>
      </c>
      <c r="C78" s="44" t="s">
        <v>23</v>
      </c>
      <c r="D78" s="53">
        <f>$D$59+7</f>
        <v>45992</v>
      </c>
    </row>
    <row r="79" spans="1:4" ht="27.75" thickBot="1" x14ac:dyDescent="0.3">
      <c r="A79" s="45" t="s">
        <v>3</v>
      </c>
      <c r="B79" s="46" t="s">
        <v>15</v>
      </c>
      <c r="C79" s="45" t="s">
        <v>7</v>
      </c>
      <c r="D79" s="45" t="s">
        <v>13</v>
      </c>
    </row>
    <row r="80" spans="1:4" x14ac:dyDescent="0.25">
      <c r="A80" s="5"/>
      <c r="B80" s="4"/>
      <c r="C80" s="88"/>
      <c r="D80" s="9"/>
    </row>
    <row r="81" spans="1:4" x14ac:dyDescent="0.25">
      <c r="A81" s="1"/>
      <c r="B81" s="2"/>
      <c r="C81" s="10"/>
      <c r="D81" s="10"/>
    </row>
    <row r="82" spans="1:4" x14ac:dyDescent="0.25">
      <c r="A82" s="1"/>
      <c r="B82" s="2"/>
      <c r="C82" s="10"/>
      <c r="D82" s="10"/>
    </row>
    <row r="83" spans="1:4" x14ac:dyDescent="0.25">
      <c r="A83" s="1"/>
      <c r="B83" s="2"/>
      <c r="C83" s="10"/>
      <c r="D83" s="10"/>
    </row>
    <row r="84" spans="1:4" x14ac:dyDescent="0.25">
      <c r="A84" s="1"/>
      <c r="B84" s="2"/>
      <c r="C84" s="10"/>
      <c r="D84" s="10"/>
    </row>
    <row r="85" spans="1:4" x14ac:dyDescent="0.25">
      <c r="A85" s="1"/>
      <c r="B85" s="2"/>
      <c r="C85" s="10"/>
      <c r="D85" s="10"/>
    </row>
    <row r="86" spans="1:4" x14ac:dyDescent="0.25">
      <c r="A86" s="1"/>
      <c r="B86" s="2"/>
      <c r="C86" s="10"/>
      <c r="D86" s="10"/>
    </row>
    <row r="87" spans="1:4" x14ac:dyDescent="0.25">
      <c r="A87" s="1"/>
      <c r="B87" s="2"/>
      <c r="C87" s="10"/>
      <c r="D87" s="10"/>
    </row>
    <row r="88" spans="1:4" x14ac:dyDescent="0.25">
      <c r="A88" s="1"/>
      <c r="B88" s="2"/>
      <c r="C88" s="10"/>
      <c r="D88" s="10"/>
    </row>
    <row r="89" spans="1:4" x14ac:dyDescent="0.25">
      <c r="A89" s="2"/>
      <c r="B89" s="2"/>
      <c r="C89" s="10"/>
      <c r="D89" s="10"/>
    </row>
    <row r="90" spans="1:4" x14ac:dyDescent="0.25">
      <c r="A90" s="2"/>
      <c r="B90" s="2"/>
      <c r="C90" s="10"/>
      <c r="D90" s="10"/>
    </row>
    <row r="91" spans="1:4" x14ac:dyDescent="0.25">
      <c r="A91" s="2"/>
      <c r="B91" s="2"/>
      <c r="C91" s="10"/>
      <c r="D91" s="10"/>
    </row>
    <row r="92" spans="1:4" x14ac:dyDescent="0.25">
      <c r="A92" s="50"/>
      <c r="B92" s="50"/>
      <c r="C92" s="51"/>
      <c r="D92" s="51"/>
    </row>
    <row r="93" spans="1:4" x14ac:dyDescent="0.25">
      <c r="A93" s="50"/>
      <c r="B93" s="50"/>
      <c r="C93" s="51"/>
      <c r="D93" s="51"/>
    </row>
    <row r="94" spans="1:4" ht="14.25" thickBot="1" x14ac:dyDescent="0.3">
      <c r="A94" s="3"/>
      <c r="B94" s="3"/>
      <c r="C94" s="11"/>
      <c r="D94" s="11"/>
    </row>
    <row r="95" spans="1:4" ht="14.25" thickBot="1" x14ac:dyDescent="0.3">
      <c r="A95" s="47" t="s">
        <v>22</v>
      </c>
      <c r="B95" s="47">
        <f>SUM(B80:B94)</f>
        <v>0</v>
      </c>
      <c r="C95" s="87" t="s">
        <v>28</v>
      </c>
      <c r="D95" s="48"/>
    </row>
    <row r="96" spans="1:4" ht="15" thickBot="1" x14ac:dyDescent="0.35">
      <c r="A96" s="49"/>
      <c r="B96" s="49"/>
      <c r="C96" s="49"/>
      <c r="D96" s="49"/>
    </row>
    <row r="97" spans="1:4" ht="18.75" thickBot="1" x14ac:dyDescent="0.3">
      <c r="A97" s="42" t="s">
        <v>14</v>
      </c>
      <c r="B97" s="43">
        <v>6</v>
      </c>
      <c r="C97" s="44" t="s">
        <v>23</v>
      </c>
      <c r="D97" s="53">
        <f>$D$78+7</f>
        <v>45999</v>
      </c>
    </row>
    <row r="98" spans="1:4" ht="27.75" thickBot="1" x14ac:dyDescent="0.3">
      <c r="A98" s="45" t="s">
        <v>3</v>
      </c>
      <c r="B98" s="46" t="s">
        <v>15</v>
      </c>
      <c r="C98" s="45" t="s">
        <v>7</v>
      </c>
      <c r="D98" s="45" t="s">
        <v>13</v>
      </c>
    </row>
    <row r="99" spans="1:4" x14ac:dyDescent="0.25">
      <c r="A99" s="5"/>
      <c r="B99" s="4"/>
      <c r="C99" s="88"/>
      <c r="D99" s="91"/>
    </row>
    <row r="100" spans="1:4" x14ac:dyDescent="0.25">
      <c r="A100" s="1"/>
      <c r="B100" s="2"/>
      <c r="C100" s="89"/>
      <c r="D100" s="93"/>
    </row>
    <row r="101" spans="1:4" x14ac:dyDescent="0.25">
      <c r="A101" s="1"/>
      <c r="B101" s="2"/>
      <c r="C101" s="10"/>
      <c r="D101" s="10"/>
    </row>
    <row r="102" spans="1:4" x14ac:dyDescent="0.25">
      <c r="A102" s="1"/>
      <c r="B102" s="2"/>
      <c r="C102" s="10"/>
      <c r="D102" s="10"/>
    </row>
    <row r="103" spans="1:4" x14ac:dyDescent="0.25">
      <c r="A103" s="1"/>
      <c r="B103" s="2"/>
      <c r="C103" s="10"/>
      <c r="D103" s="10"/>
    </row>
    <row r="104" spans="1:4" x14ac:dyDescent="0.25">
      <c r="A104" s="1"/>
      <c r="B104" s="2"/>
      <c r="C104" s="10"/>
      <c r="D104" s="10"/>
    </row>
    <row r="105" spans="1:4" x14ac:dyDescent="0.25">
      <c r="A105" s="1"/>
      <c r="B105" s="2"/>
      <c r="C105" s="10"/>
      <c r="D105" s="10"/>
    </row>
    <row r="106" spans="1:4" x14ac:dyDescent="0.25">
      <c r="A106" s="1"/>
      <c r="B106" s="2"/>
      <c r="C106" s="10"/>
      <c r="D106" s="10"/>
    </row>
    <row r="107" spans="1:4" x14ac:dyDescent="0.25">
      <c r="A107" s="1"/>
      <c r="B107" s="2"/>
      <c r="C107" s="10"/>
      <c r="D107" s="10"/>
    </row>
    <row r="108" spans="1:4" x14ac:dyDescent="0.25">
      <c r="A108" s="2"/>
      <c r="B108" s="2"/>
      <c r="C108" s="10"/>
      <c r="D108" s="10"/>
    </row>
    <row r="109" spans="1:4" x14ac:dyDescent="0.25">
      <c r="A109" s="2"/>
      <c r="B109" s="2"/>
      <c r="C109" s="10"/>
      <c r="D109" s="10"/>
    </row>
    <row r="110" spans="1:4" x14ac:dyDescent="0.25">
      <c r="A110" s="2"/>
      <c r="B110" s="2"/>
      <c r="C110" s="10"/>
      <c r="D110" s="10"/>
    </row>
    <row r="111" spans="1:4" x14ac:dyDescent="0.25">
      <c r="A111" s="50"/>
      <c r="B111" s="50"/>
      <c r="C111" s="51"/>
      <c r="D111" s="51"/>
    </row>
    <row r="112" spans="1:4" x14ac:dyDescent="0.25">
      <c r="A112" s="50"/>
      <c r="B112" s="50"/>
      <c r="C112" s="51"/>
      <c r="D112" s="51"/>
    </row>
    <row r="113" spans="1:4" ht="14.25" thickBot="1" x14ac:dyDescent="0.3">
      <c r="A113" s="3"/>
      <c r="B113" s="3"/>
      <c r="C113" s="11"/>
      <c r="D113" s="11"/>
    </row>
    <row r="114" spans="1:4" ht="14.25" thickBot="1" x14ac:dyDescent="0.3">
      <c r="A114" s="47" t="s">
        <v>22</v>
      </c>
      <c r="B114" s="47">
        <f>SUM(B99:B113)</f>
        <v>0</v>
      </c>
      <c r="C114" s="87" t="s">
        <v>28</v>
      </c>
      <c r="D114" s="48"/>
    </row>
    <row r="115" spans="1:4" ht="15" thickBot="1" x14ac:dyDescent="0.35">
      <c r="A115" s="49"/>
      <c r="B115" s="49"/>
      <c r="C115" s="49"/>
      <c r="D115" s="49"/>
    </row>
    <row r="116" spans="1:4" ht="18.75" thickBot="1" x14ac:dyDescent="0.3">
      <c r="A116" s="42" t="s">
        <v>14</v>
      </c>
      <c r="B116" s="43">
        <v>7</v>
      </c>
      <c r="C116" s="44" t="s">
        <v>23</v>
      </c>
      <c r="D116" s="53">
        <f>$D$97+7</f>
        <v>46006</v>
      </c>
    </row>
    <row r="117" spans="1:4" ht="27.75" thickBot="1" x14ac:dyDescent="0.3">
      <c r="A117" s="45" t="s">
        <v>3</v>
      </c>
      <c r="B117" s="46" t="s">
        <v>15</v>
      </c>
      <c r="C117" s="45" t="s">
        <v>7</v>
      </c>
      <c r="D117" s="45" t="s">
        <v>13</v>
      </c>
    </row>
    <row r="118" spans="1:4" x14ac:dyDescent="0.25">
      <c r="A118" s="5"/>
      <c r="B118" s="4"/>
      <c r="C118" s="88"/>
      <c r="D118" s="9"/>
    </row>
    <row r="119" spans="1:4" x14ac:dyDescent="0.25">
      <c r="A119" s="1"/>
      <c r="B119" s="2"/>
      <c r="C119" s="92"/>
      <c r="D119" s="10"/>
    </row>
    <row r="120" spans="1:4" x14ac:dyDescent="0.25">
      <c r="A120" s="1"/>
      <c r="B120" s="2"/>
      <c r="C120" s="89"/>
      <c r="D120" s="93"/>
    </row>
    <row r="121" spans="1:4" x14ac:dyDescent="0.25">
      <c r="A121" s="1"/>
      <c r="B121" s="2"/>
      <c r="C121" s="10"/>
      <c r="D121" s="10"/>
    </row>
    <row r="122" spans="1:4" x14ac:dyDescent="0.25">
      <c r="A122" s="1"/>
      <c r="B122" s="2"/>
      <c r="C122" s="10"/>
      <c r="D122" s="10"/>
    </row>
    <row r="123" spans="1:4" x14ac:dyDescent="0.25">
      <c r="A123" s="1"/>
      <c r="B123" s="2"/>
      <c r="C123" s="10"/>
      <c r="D123" s="10"/>
    </row>
    <row r="124" spans="1:4" x14ac:dyDescent="0.25">
      <c r="A124" s="1"/>
      <c r="B124" s="2"/>
      <c r="C124" s="10"/>
      <c r="D124" s="10"/>
    </row>
    <row r="125" spans="1:4" x14ac:dyDescent="0.25">
      <c r="A125" s="1"/>
      <c r="B125" s="2"/>
      <c r="C125" s="10"/>
      <c r="D125" s="10"/>
    </row>
    <row r="126" spans="1:4" x14ac:dyDescent="0.25">
      <c r="A126" s="1"/>
      <c r="B126" s="2"/>
      <c r="C126" s="10"/>
      <c r="D126" s="10"/>
    </row>
    <row r="127" spans="1:4" x14ac:dyDescent="0.25">
      <c r="A127" s="2"/>
      <c r="B127" s="2"/>
      <c r="C127" s="10"/>
      <c r="D127" s="10"/>
    </row>
    <row r="128" spans="1:4" x14ac:dyDescent="0.25">
      <c r="A128" s="2"/>
      <c r="B128" s="2"/>
      <c r="C128" s="10"/>
      <c r="D128" s="10"/>
    </row>
    <row r="129" spans="1:4" x14ac:dyDescent="0.25">
      <c r="A129" s="2"/>
      <c r="B129" s="2"/>
      <c r="C129" s="10"/>
      <c r="D129" s="10"/>
    </row>
    <row r="130" spans="1:4" x14ac:dyDescent="0.25">
      <c r="A130" s="50"/>
      <c r="B130" s="50"/>
      <c r="C130" s="51"/>
      <c r="D130" s="51"/>
    </row>
    <row r="131" spans="1:4" x14ac:dyDescent="0.25">
      <c r="A131" s="50"/>
      <c r="B131" s="50"/>
      <c r="C131" s="51"/>
      <c r="D131" s="51"/>
    </row>
    <row r="132" spans="1:4" ht="14.25" thickBot="1" x14ac:dyDescent="0.3">
      <c r="A132" s="3"/>
      <c r="B132" s="3"/>
      <c r="C132" s="11"/>
      <c r="D132" s="11"/>
    </row>
    <row r="133" spans="1:4" ht="14.25" thickBot="1" x14ac:dyDescent="0.3">
      <c r="A133" s="47" t="s">
        <v>22</v>
      </c>
      <c r="B133" s="47">
        <f>SUM(B118:B132)</f>
        <v>0</v>
      </c>
      <c r="C133" s="87" t="s">
        <v>30</v>
      </c>
      <c r="D133" s="48"/>
    </row>
    <row r="134" spans="1:4" ht="15" thickBot="1" x14ac:dyDescent="0.35">
      <c r="A134" s="49"/>
      <c r="B134" s="49"/>
      <c r="C134" s="49"/>
      <c r="D134" s="49"/>
    </row>
    <row r="135" spans="1:4" ht="18.75" thickBot="1" x14ac:dyDescent="0.3">
      <c r="A135" s="42" t="s">
        <v>14</v>
      </c>
      <c r="B135" s="43">
        <v>8</v>
      </c>
      <c r="C135" s="44" t="s">
        <v>23</v>
      </c>
      <c r="D135" s="53">
        <f>$D$116+21</f>
        <v>46027</v>
      </c>
    </row>
    <row r="136" spans="1:4" ht="27.75" thickBot="1" x14ac:dyDescent="0.3">
      <c r="A136" s="45" t="s">
        <v>3</v>
      </c>
      <c r="B136" s="46" t="s">
        <v>15</v>
      </c>
      <c r="C136" s="45" t="s">
        <v>7</v>
      </c>
      <c r="D136" s="45" t="s">
        <v>13</v>
      </c>
    </row>
    <row r="137" spans="1:4" x14ac:dyDescent="0.25">
      <c r="A137" s="5"/>
      <c r="B137" s="4"/>
      <c r="C137" s="94"/>
      <c r="D137" s="9"/>
    </row>
    <row r="138" spans="1:4" x14ac:dyDescent="0.25">
      <c r="A138" s="1"/>
      <c r="B138" s="2"/>
      <c r="C138" s="95"/>
      <c r="D138" s="10"/>
    </row>
    <row r="139" spans="1:4" x14ac:dyDescent="0.25">
      <c r="A139" s="1"/>
      <c r="B139" s="2"/>
      <c r="C139" s="10"/>
      <c r="D139" s="10"/>
    </row>
    <row r="140" spans="1:4" x14ac:dyDescent="0.25">
      <c r="A140" s="1"/>
      <c r="B140" s="2"/>
      <c r="C140" s="10"/>
      <c r="D140" s="10"/>
    </row>
    <row r="141" spans="1:4" x14ac:dyDescent="0.25">
      <c r="A141" s="1"/>
      <c r="B141" s="2"/>
      <c r="C141" s="10"/>
      <c r="D141" s="10"/>
    </row>
    <row r="142" spans="1:4" x14ac:dyDescent="0.25">
      <c r="A142" s="1"/>
      <c r="B142" s="2"/>
      <c r="C142" s="10"/>
      <c r="D142" s="10"/>
    </row>
    <row r="143" spans="1:4" x14ac:dyDescent="0.25">
      <c r="A143" s="1"/>
      <c r="B143" s="2"/>
      <c r="C143" s="10"/>
      <c r="D143" s="10"/>
    </row>
    <row r="144" spans="1:4" x14ac:dyDescent="0.25">
      <c r="A144" s="1"/>
      <c r="B144" s="2"/>
      <c r="C144" s="10"/>
      <c r="D144" s="10"/>
    </row>
    <row r="145" spans="1:4" x14ac:dyDescent="0.25">
      <c r="A145" s="1"/>
      <c r="B145" s="2"/>
      <c r="C145" s="10"/>
      <c r="D145" s="10"/>
    </row>
    <row r="146" spans="1:4" x14ac:dyDescent="0.25">
      <c r="A146" s="2"/>
      <c r="B146" s="2"/>
      <c r="C146" s="10"/>
      <c r="D146" s="10"/>
    </row>
    <row r="147" spans="1:4" x14ac:dyDescent="0.25">
      <c r="A147" s="2"/>
      <c r="B147" s="2"/>
      <c r="C147" s="10"/>
      <c r="D147" s="10"/>
    </row>
    <row r="148" spans="1:4" x14ac:dyDescent="0.25">
      <c r="A148" s="2"/>
      <c r="B148" s="2"/>
      <c r="C148" s="10"/>
      <c r="D148" s="10"/>
    </row>
    <row r="149" spans="1:4" x14ac:dyDescent="0.25">
      <c r="A149" s="50"/>
      <c r="B149" s="50"/>
      <c r="C149" s="51"/>
      <c r="D149" s="51"/>
    </row>
    <row r="150" spans="1:4" x14ac:dyDescent="0.25">
      <c r="A150" s="50"/>
      <c r="B150" s="50"/>
      <c r="C150" s="51"/>
      <c r="D150" s="51"/>
    </row>
    <row r="151" spans="1:4" ht="14.25" thickBot="1" x14ac:dyDescent="0.3">
      <c r="A151" s="3"/>
      <c r="B151" s="3"/>
      <c r="C151" s="11"/>
      <c r="D151" s="11"/>
    </row>
    <row r="152" spans="1:4" ht="14.25" thickBot="1" x14ac:dyDescent="0.3">
      <c r="A152" s="47" t="s">
        <v>22</v>
      </c>
      <c r="B152" s="47">
        <f>SUM(B137:B151)</f>
        <v>0</v>
      </c>
      <c r="C152" s="87" t="s">
        <v>28</v>
      </c>
      <c r="D152" s="48"/>
    </row>
    <row r="153" spans="1:4" ht="14.25" x14ac:dyDescent="0.3">
      <c r="A153" s="49"/>
      <c r="B153" s="49"/>
      <c r="C153" s="49"/>
      <c r="D153" s="49"/>
    </row>
    <row r="154" spans="1:4" x14ac:dyDescent="0.25">
      <c r="A154" s="86" t="s">
        <v>29</v>
      </c>
    </row>
  </sheetData>
  <dataValidations count="4">
    <dataValidation type="whole" errorStyle="warning" allowBlank="1" showInputMessage="1" showErrorMessage="1" errorTitle="Dépassement de durée" error="Le nombre de minutes introduites dépasse la durée d'une période. Veuillez confirmer ... Le calcul du total sera juste dans tous les cas._x000a_" sqref="F36" xr:uid="{44460710-E505-40B8-8485-BA41A2FB3DB5}">
      <formula1>0</formula1>
      <formula2>DureePeriode-1</formula2>
    </dataValidation>
    <dataValidation type="whole" errorStyle="warning" operator="greaterThan" allowBlank="1" showInputMessage="1" showErrorMessage="1" errorTitle="Durée en 1/3 de période" error="Le nombre doit être de type entier" sqref="F28:F35 B3:B17 B23:B37 B42:B56 B61:B75 B80:B94 B99:B113 B118:B132 B137:B151" xr:uid="{B23B642E-0B29-4ED8-A409-C50EB7CC17BF}">
      <formula1>0</formula1>
    </dataValidation>
    <dataValidation type="whole" errorStyle="warning" allowBlank="1" showErrorMessage="1" errorTitle="Dépassement de durée" error="Le nombre de minutes introduites dépasse la durée d'une période. Veuillez confirmer ... Le calcul du total sera juste dans tous les cas._x000a_" sqref="B18 B38 B57 B76 B95 B114 B133 B152" xr:uid="{C02FA86D-12F2-40ED-8F5D-F7684A1E2EDD}">
      <formula1>0</formula1>
      <formula2>NbPerWeek * NbQuartPer</formula2>
    </dataValidation>
    <dataValidation type="list" allowBlank="1" showInputMessage="1" showErrorMessage="1" sqref="A3:A17 A23:A37 A42:A56 A61:A75 A80:A94 A99:A113 A118:A132 A137:A151" xr:uid="{BCBC0613-73E6-47AF-B0DB-7981EF783ABA}">
      <formula1>lstTasks</formula1>
    </dataValidation>
  </dataValidations>
  <pageMargins left="0.7" right="0.7" top="0.75" bottom="0.75" header="0.3" footer="0.3"/>
  <pageSetup paperSize="9" orientation="portrait" r:id="rId1"/>
  <drawing r:id="rId2"/>
  <legacyDrawing r:id="rId3"/>
  <controls>
    <mc:AlternateContent xmlns:mc="http://schemas.openxmlformats.org/markup-compatibility/2006">
      <mc:Choice Requires="x14">
        <control shapeId="43009" r:id="rId4" name="btnImportRealisation">
          <controlPr defaultSize="0" autoLine="0" r:id="rId5">
            <anchor moveWithCells="1">
              <from>
                <xdr:col>4</xdr:col>
                <xdr:colOff>590550</xdr:colOff>
                <xdr:row>0</xdr:row>
                <xdr:rowOff>180975</xdr:rowOff>
              </from>
              <to>
                <xdr:col>7</xdr:col>
                <xdr:colOff>257175</xdr:colOff>
                <xdr:row>2</xdr:row>
                <xdr:rowOff>152400</xdr:rowOff>
              </to>
            </anchor>
          </controlPr>
        </control>
      </mc:Choice>
      <mc:Fallback>
        <control shapeId="43009" r:id="rId4" name="btnImportRealisation"/>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Belge" ma:contentTypeID="0x0101001ABD9BFFC9E543439C53A2705AE306EF" ma:contentTypeVersion="14" ma:contentTypeDescription="Yeni belge oluşturun." ma:contentTypeScope="" ma:versionID="ee0afad02cec1cb5c008e069b7696935">
  <xsd:schema xmlns:xsd="http://www.w3.org/2001/XMLSchema" xmlns:xs="http://www.w3.org/2001/XMLSchema" xmlns:p="http://schemas.microsoft.com/office/2006/metadata/properties" xmlns:ns2="bf2f2df3-a963-4452-b0e7-67dabc627c35" xmlns:ns3="f7d9f5a6-831d-4621-8c77-cbcaf993e406" targetNamespace="http://schemas.microsoft.com/office/2006/metadata/properties" ma:root="true" ma:fieldsID="071b3019c14a3acff1c11c5229ff0248" ns2:_="" ns3:_="">
    <xsd:import namespace="bf2f2df3-a963-4452-b0e7-67dabc627c35"/>
    <xsd:import namespace="f7d9f5a6-831d-4621-8c77-cbcaf993e40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DateTaken"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2f2df3-a963-4452-b0e7-67dabc627c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Resim Etiketleri"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7d9f5a6-831d-4621-8c77-cbcaf993e406" elementFormDefault="qualified">
    <xsd:import namespace="http://schemas.microsoft.com/office/2006/documentManagement/types"/>
    <xsd:import namespace="http://schemas.microsoft.com/office/infopath/2007/PartnerControls"/>
    <xsd:element name="SharedWithUsers" ma:index="13"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Ayrıntıları ile Paylaşıldı" ma:internalName="SharedWithDetails" ma:readOnly="true">
      <xsd:simpleType>
        <xsd:restriction base="dms:Note">
          <xsd:maxLength value="255"/>
        </xsd:restriction>
      </xsd:simpleType>
    </xsd:element>
    <xsd:element name="TaxCatchAll" ma:index="17" nillable="true" ma:displayName="Taxonomy Catch All Column" ma:hidden="true" ma:list="{d5ae18fe-e647-4d3d-978d-a159861f0a34}" ma:internalName="TaxCatchAll" ma:showField="CatchAllData" ma:web="f7d9f5a6-831d-4621-8c77-cbcaf993e4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f2f2df3-a963-4452-b0e7-67dabc627c35">
      <Terms xmlns="http://schemas.microsoft.com/office/infopath/2007/PartnerControls"/>
    </lcf76f155ced4ddcb4097134ff3c332f>
    <TaxCatchAll xmlns="f7d9f5a6-831d-4621-8c77-cbcaf993e406" xsi:nil="true"/>
  </documentManagement>
</p:properties>
</file>

<file path=customXml/itemProps1.xml><?xml version="1.0" encoding="utf-8"?>
<ds:datastoreItem xmlns:ds="http://schemas.openxmlformats.org/officeDocument/2006/customXml" ds:itemID="{483719EA-391A-4C4B-985B-9805B7FCB9D5}">
  <ds:schemaRefs>
    <ds:schemaRef ds:uri="http://schemas.microsoft.com/sharepoint/v3/contenttype/forms"/>
  </ds:schemaRefs>
</ds:datastoreItem>
</file>

<file path=customXml/itemProps2.xml><?xml version="1.0" encoding="utf-8"?>
<ds:datastoreItem xmlns:ds="http://schemas.openxmlformats.org/officeDocument/2006/customXml" ds:itemID="{15235525-7A96-4FDC-BE0C-FC0EC8076A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2f2df3-a963-4452-b0e7-67dabc627c35"/>
    <ds:schemaRef ds:uri="f7d9f5a6-831d-4621-8c77-cbcaf993e4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C29126A-0525-4FCA-A870-5924A033DD5A}">
  <ds:schemaRefs>
    <ds:schemaRef ds:uri="http://schemas.microsoft.com/office/2006/metadata/properties"/>
    <ds:schemaRef ds:uri="http://schemas.microsoft.com/office/infopath/2007/PartnerControls"/>
    <ds:schemaRef ds:uri="bf2f2df3-a963-4452-b0e7-67dabc627c35"/>
    <ds:schemaRef ds:uri="f7d9f5a6-831d-4621-8c77-cbcaf993e4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10</vt:i4>
      </vt:variant>
    </vt:vector>
  </HeadingPairs>
  <TitlesOfParts>
    <vt:vector size="16" baseType="lpstr">
      <vt:lpstr>Donnees</vt:lpstr>
      <vt:lpstr>DiagramHeader</vt:lpstr>
      <vt:lpstr>DiagramFooter</vt:lpstr>
      <vt:lpstr>PlanificationWeek</vt:lpstr>
      <vt:lpstr>achievementWeek</vt:lpstr>
      <vt:lpstr>JNLTRAV</vt:lpstr>
      <vt:lpstr>datDateBegin</vt:lpstr>
      <vt:lpstr>lstTasks</vt:lpstr>
      <vt:lpstr>NbPerWeek</vt:lpstr>
      <vt:lpstr>NbQuartPer</vt:lpstr>
      <vt:lpstr>NbWeeks</vt:lpstr>
      <vt:lpstr>objFooterDiagram</vt:lpstr>
      <vt:lpstr>objPlanifWeek</vt:lpstr>
      <vt:lpstr>achievementWeek!objRealizedWeek</vt:lpstr>
      <vt:lpstr>JNLTRAV!objRealizedWeek</vt:lpstr>
      <vt:lpstr>Donnees!Zone_d_impression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JNLTRAV</dc:title>
  <dc:subject>Journal de travail</dc:subject>
  <dc:creator>Matias Denis</dc:creator>
  <cp:lastModifiedBy>Matias Denis</cp:lastModifiedBy>
  <cp:lastPrinted>2013-08-29T11:33:15Z</cp:lastPrinted>
  <dcterms:created xsi:type="dcterms:W3CDTF">1996-10-21T11:03:58Z</dcterms:created>
  <dcterms:modified xsi:type="dcterms:W3CDTF">2025-12-04T11:10:36Z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0x0101001ABD9BFFC9E543439C53A2705AE306EF</vt:lpwstr>
  </property>
</Properties>
</file>