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activeX/activeX2.xml" ContentType="application/vnd.ms-office.activeX+xml"/>
  <Override PartName="/xl/activeX/activeX2.bin" ContentType="application/vnd.ms-office.activeX"/>
  <Override PartName="/xl/activeX/activeX3.xml" ContentType="application/vnd.ms-office.activeX+xml"/>
  <Override PartName="/xl/activeX/activeX3.bin" ContentType="application/vnd.ms-office.activeX"/>
  <Override PartName="/xl/drawings/drawing2.xml" ContentType="application/vnd.openxmlformats-officedocument.drawing+xml"/>
  <Override PartName="/xl/activeX/activeX4.xml" ContentType="application/vnd.ms-office.activeX+xml"/>
  <Override PartName="/xl/activeX/activeX4.bin" ContentType="application/vnd.ms-office.activeX"/>
  <Override PartName="/xl/drawings/drawing3.xml" ContentType="application/vnd.openxmlformats-officedocument.drawing+xml"/>
  <Override PartName="/xl/activeX/activeX5.xml" ContentType="application/vnd.ms-office.activeX+xml"/>
  <Override PartName="/xl/activeX/activeX5.bin" ContentType="application/vnd.ms-office.activeX"/>
  <Override PartName="/xl/drawings/drawing4.xml" ContentType="application/vnd.openxmlformats-officedocument.drawing+xml"/>
  <Override PartName="/xl/activeX/activeX6.xml" ContentType="application/vnd.ms-office.activeX+xml"/>
  <Override PartName="/xl/activeX/activeX6.bin" ContentType="application/vnd.ms-office.activeX"/>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7928"/>
  <workbookPr updateLinks="never" codeName="ThisWorkbook"/>
  <mc:AlternateContent xmlns:mc="http://schemas.openxmlformats.org/markup-compatibility/2006">
    <mc:Choice Requires="x15">
      <x15ac:absPath xmlns:x15ac="http://schemas.microsoft.com/office/spreadsheetml/2010/11/ac" url="D:\05-repertoires-ict-ssd (2022)\Deuxième année\P_App\P_App-Bruteforce\"/>
    </mc:Choice>
  </mc:AlternateContent>
  <xr:revisionPtr revIDLastSave="0" documentId="13_ncr:1_{49D43573-833A-4DDB-8F36-AB98A537A64B}" xr6:coauthVersionLast="47" xr6:coauthVersionMax="47" xr10:uidLastSave="{00000000-0000-0000-0000-000000000000}"/>
  <bookViews>
    <workbookView xWindow="-120" yWindow="-120" windowWidth="29040" windowHeight="15840" activeTab="5" xr2:uid="{00000000-000D-0000-FFFF-FFFF00000000}"/>
  </bookViews>
  <sheets>
    <sheet name="Donnees" sheetId="7" r:id="rId1"/>
    <sheet name="DiagramHeader" sheetId="10" state="hidden" r:id="rId2"/>
    <sheet name="DiagramFooter" sheetId="130" state="hidden" r:id="rId3"/>
    <sheet name="PlanificationWeek" sheetId="11" state="hidden" r:id="rId4"/>
    <sheet name="achievementWeek" sheetId="154" state="hidden" r:id="rId5"/>
    <sheet name="JNLTRAV" sheetId="156" r:id="rId6"/>
  </sheets>
  <definedNames>
    <definedName name="datDateBegin">Donnees!$C$9</definedName>
    <definedName name="lstTasks">Donnees!$C$20:$C$45</definedName>
    <definedName name="NbPerWeek">Donnees!$C$12</definedName>
    <definedName name="NbQuartPer">Donnees!$C$13</definedName>
    <definedName name="NbWeeks">Donnees!$C$11</definedName>
    <definedName name="objFooterDiagram">DiagramFooter!$B$3:$C$4</definedName>
    <definedName name="objPlanifWeek">PlanificationWeek!$A$1:$D$14</definedName>
    <definedName name="objRealizedWeek" localSheetId="4">achievementWeek!$A$1:$D$19</definedName>
    <definedName name="objRealizedWeek" localSheetId="5">JNLTRAV!$A$1:$D$18</definedName>
    <definedName name="_xlnm.Print_Area" localSheetId="0">Donnees!$A$1:$G$47</definedName>
  </definedNames>
  <calcPr calcId="191029"/>
  <customWorkbookViews>
    <customWorkbookView name="Gilbert Gruaz - Affichage personnalisé" guid="{4120A410-7ADA-42AD-8010-013327A2ECF1}" mergeInterval="0" personalView="1" maximized="1" windowWidth="1916" windowHeight="821" activeSheetId="4"/>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156" l="1"/>
  <c r="D1" i="156"/>
  <c r="D19" i="156" s="1"/>
  <c r="D38" i="156" s="1"/>
  <c r="D55" i="156" s="1"/>
  <c r="D73" i="156" s="1"/>
  <c r="D92" i="156" s="1"/>
  <c r="D109" i="156" s="1"/>
  <c r="D128" i="156" s="1"/>
  <c r="B145" i="156"/>
  <c r="B126" i="156"/>
  <c r="B107" i="156"/>
  <c r="B90" i="156"/>
  <c r="B71" i="156"/>
  <c r="B53" i="156"/>
  <c r="B36" i="156"/>
  <c r="B18" i="154" l="1"/>
  <c r="B13" i="11" l="1"/>
</calcChain>
</file>

<file path=xl/sharedStrings.xml><?xml version="1.0" encoding="utf-8"?>
<sst xmlns="http://schemas.openxmlformats.org/spreadsheetml/2006/main" count="167" uniqueCount="77">
  <si>
    <t>Module :</t>
  </si>
  <si>
    <t>Classe :</t>
  </si>
  <si>
    <t>Lieu :</t>
  </si>
  <si>
    <t>Tâche</t>
  </si>
  <si>
    <t>Prénom - nom :</t>
  </si>
  <si>
    <t>Tâches - objectifs</t>
  </si>
  <si>
    <t xml:space="preserve"> </t>
  </si>
  <si>
    <r>
      <t>Explications:</t>
    </r>
    <r>
      <rPr>
        <b/>
        <sz val="10"/>
        <rFont val="Century Gothic"/>
        <family val="2"/>
        <scheme val="minor"/>
      </rPr>
      <t xml:space="preserve"> qu'est-ce qui se fait et comment ?</t>
    </r>
  </si>
  <si>
    <t>Date Fin:</t>
  </si>
  <si>
    <t>Date Début :</t>
  </si>
  <si>
    <t>Nombre de semaines:</t>
  </si>
  <si>
    <t>Nombre de Périodes/Semaine :</t>
  </si>
  <si>
    <t>Nombre de 1/4 heure/Période:</t>
  </si>
  <si>
    <t>Liens, références, …</t>
  </si>
  <si>
    <t>Semaine</t>
  </si>
  <si>
    <t>Durée
[1/4 h.]</t>
  </si>
  <si>
    <t>Total planifié</t>
  </si>
  <si>
    <t>Total réalisé</t>
  </si>
  <si>
    <t>Nb 1/4 heure</t>
  </si>
  <si>
    <t>Liste des tâches</t>
  </si>
  <si>
    <t>Tâche obligatoire:</t>
  </si>
  <si>
    <t>Absence - Imprévus</t>
  </si>
  <si>
    <t>Total semaine</t>
  </si>
  <si>
    <t>Début:</t>
  </si>
  <si>
    <t>P_FUN</t>
  </si>
  <si>
    <t>Matias Denis</t>
  </si>
  <si>
    <t>FID2</t>
  </si>
  <si>
    <t>ETML - Vennes</t>
  </si>
  <si>
    <t>Max. 9</t>
  </si>
  <si>
    <t>STOP</t>
  </si>
  <si>
    <t>Max. 15</t>
  </si>
  <si>
    <t>Choix du projet et prise de connaissance du CdC</t>
  </si>
  <si>
    <t>Rédaction ébauche rapport de projet</t>
  </si>
  <si>
    <t>Renseignement sur le bruteforce et le pentesting pour l'authentification</t>
  </si>
  <si>
    <t>Création d'un schéma du fonctionnement du programme.</t>
  </si>
  <si>
    <t>Création d'un schéma représentant la logique du programme sur draw.io. A améliorer.</t>
  </si>
  <si>
    <t>https://www.fortinet.com/fr/resources/cyberglossary/brute-force-attack
https://fr.wikipedia.org/wiki/Test_d%27intrusion
https://fr.wikipedia.org/wiki/Hacking_%C3%A9thique
https://fr.wikipedia.org/wiki/Breach_and_attack_simulation
https://www.youtube.com/watch?v=ZCuStkgjwM8
https://www.youtube.com/watch?v=Mu1jlNSKytU
https://chatgpt.com/share/691b1fbb-2888-8009-9e51-fc7f83414277</t>
  </si>
  <si>
    <t>Exemple code python</t>
  </si>
  <si>
    <t>Exemple de code python trouvé dans une vidéo YouTube, il va être testé.</t>
  </si>
  <si>
    <t>https://www.youtube.com/shorts/26giQUUh0Hs</t>
  </si>
  <si>
    <t>Test code</t>
  </si>
  <si>
    <t xml:space="preserve">Nouveau code python </t>
  </si>
  <si>
    <t>Détermination des nouveaux objectifs du projet avec Mr. Melly</t>
  </si>
  <si>
    <t>Après avoir été témoin de la vitesse du code, il a été décidé avec Mr. Melly de définir des objectifs plus précis: choisir une cible définie (db, site web, http, ftp, ssh) pour voir la différence de vitesse lorsque l'on rajoute les hash car on doit le calculer, le comparer, etc... 
Mais également de voir si un mot de passe est trouvable rapidement avec un nombre de caractère élevé.</t>
  </si>
  <si>
    <t>Recherche en ligne quant aux nouveaux objectifs</t>
  </si>
  <si>
    <t>Jeudi 27.11</t>
  </si>
  <si>
    <t>Rédaction du rapport de projet</t>
  </si>
  <si>
    <t>Adaptation du schéma</t>
  </si>
  <si>
    <t>Après réflexion et conseils du professeur, le schéma doit être adapté car il n'est pas assez explicite. Tâche en cours.</t>
  </si>
  <si>
    <t>Fin de la rédaction du chapitre Explications du code avec beaucoup de détails sur les différentes parties du code. Tâche terminée.</t>
  </si>
  <si>
    <t>Le code python trouvé dans la vidéo youtube n'est pas du bruteforce car il retourne juste le temps qu'il met à trouver une combinaison de lettres qu'il fait. Il a été demandé à ChatGPT ce qu'il faisait et ce dernier a proposé une amélioration qui fait réellement du bruteforce avec une wordlist.txt. Tâche terminée.</t>
  </si>
  <si>
    <t>Rédaction de la page de garde, des différentes parties demandées, de la table des matières. Tâche terminée.</t>
  </si>
  <si>
    <t>Mise en place d'un serveur FTP avec Docker</t>
  </si>
  <si>
    <t>Connexion FTP depuis Python</t>
  </si>
  <si>
    <t>Bruteforce FTP réel</t>
  </si>
  <si>
    <t xml:space="preserve">Tests </t>
  </si>
  <si>
    <t>Installation de Docker et création du fichier docker-compose.yml, déploiement du serveur FTP local, vérification du serveur FTP via FileZilla, validation que le mot de pas réel fonctionne bien sur FTP. Tâche terminée.</t>
  </si>
  <si>
    <t>Création du script test_ftp.py pour valider une connexion FTP Python -&gt; Docker, tests de connexion FTP (auth OK), intégration d'une fonction de test FTP dans le bruteforce (connexion réelle), sécurisation du script (blocage sur 127.0.0.1 uniquement). Tâche terminée.</t>
  </si>
  <si>
    <t>Modification du script principal pour utiliser le test FTP réel, tests de bruteforce avec wordlist simple, validation de la détection correcte du mot de passe via FTP, mesure du temps et du nombre de tentatives. Tâche terminée.</t>
  </si>
  <si>
    <t>Tests du programme avec des positions différentes du mot de passe dans la wordlist et calcul du temps. D'autres tests à faire afin d'optimiser le programme. Tâche en cours.</t>
  </si>
  <si>
    <t>Maladie.</t>
  </si>
  <si>
    <t>Lecture de plein de pages wikipédia, d'articles sur le sujet trouvés en ligne. Visionnage d'une vidéo pour comprendre les grands principes du pentesting. Demande d'explications à l'IA. Tâche terminée.</t>
  </si>
  <si>
    <t>Jeudi 20.11</t>
  </si>
  <si>
    <t>Max. 18</t>
  </si>
  <si>
    <t>Jeudi 06.11</t>
  </si>
  <si>
    <t>Jeudi 13.11</t>
  </si>
  <si>
    <t>Jeudi 11.12</t>
  </si>
  <si>
    <t>Jeudi 04.12</t>
  </si>
  <si>
    <t>Mise au propre du journal de travail</t>
  </si>
  <si>
    <t>C'est le projet Bruteforce qui a été choisi. Le cahier des charges a été lu et compris. Tâche terminée.</t>
  </si>
  <si>
    <t>Il y avait confusion dans les dates où le projet a été effectué mais tout est juste maintenant. Tâche terminée.</t>
  </si>
  <si>
    <t>Changement dans le rapport de travail: réduction du nombre de page pour s'aligner avec ce qui est demandé dans le cahier des charges. Tâche en cours.</t>
  </si>
  <si>
    <t>Tests</t>
  </si>
  <si>
    <t>Le nouveau code, donné par ChatGPT, lit donc le fichier wordlist.txt et renvoie une liste de mots de passe, le code s'arrête lorsque le mot de passe est trouvé et un message est affiché avec les données de l'utilisateur, le nombre de tentative et le temps écoulé. En moyenne il fait une tentative toutes les 0.00014 secondes. En partant du principe que l'affichage des messages prend du temps, on pourrait en gagner en les retirant. En effet après avoir enlever l'affichage des messages, on passe de une tentative chaque 0.00014 secondes à une tentative toutes les 0.000000048143 secondes. Tâche terminée.</t>
  </si>
  <si>
    <t>Recherche de documentation en ligne pour les cibles: base de données, site web, etc… Tâche terminée.</t>
  </si>
  <si>
    <t>Rédaction du chapitre Explications du code avec beaucoup de détails sur les différentes parties du code. Tâche terminée.</t>
  </si>
  <si>
    <t>Adaptation du schéma pour qu'il soit plus facile à comprendre lorsque l'on a pas encore vu le projet.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</si>
</sst>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17" x14ac:knownFonts="1">
    <font>
      <sz val="10"/>
      <name val="Century Gothic"/>
      <family val="2"/>
      <scheme val="minor"/>
    </font>
    <font>
      <u/>
      <sz val="10"/>
      <color indexed="12"/>
      <name val="Arial"/>
      <family val="2"/>
    </font>
    <font>
      <sz val="14"/>
      <name val="Verdana"/>
      <family val="2"/>
    </font>
    <font>
      <b/>
      <sz val="14"/>
      <name val="Verdana"/>
      <family val="2"/>
    </font>
    <font>
      <sz val="10"/>
      <name val="Arial"/>
      <family val="2"/>
    </font>
    <font>
      <sz val="10"/>
      <color theme="1"/>
      <name val="Century Gothic"/>
      <family val="2"/>
      <scheme val="minor"/>
    </font>
    <font>
      <b/>
      <sz val="12"/>
      <name val="Century Gothic"/>
      <family val="2"/>
      <scheme val="minor"/>
    </font>
    <font>
      <b/>
      <sz val="14"/>
      <name val="Century Gothic"/>
      <family val="2"/>
      <scheme val="minor"/>
    </font>
    <font>
      <sz val="10"/>
      <name val="Century Gothic"/>
      <family val="2"/>
      <scheme val="minor"/>
    </font>
    <font>
      <b/>
      <sz val="10"/>
      <name val="Century Gothic"/>
      <family val="2"/>
      <scheme val="minor"/>
    </font>
    <font>
      <sz val="9"/>
      <name val="Century Gothic"/>
      <family val="2"/>
      <scheme val="minor"/>
    </font>
    <font>
      <b/>
      <sz val="9"/>
      <name val="Century Gothic"/>
      <family val="2"/>
      <scheme val="minor"/>
    </font>
    <font>
      <i/>
      <sz val="10"/>
      <name val="Arial"/>
      <family val="2"/>
    </font>
    <font>
      <sz val="10"/>
      <color rgb="FFFF0000"/>
      <name val="Century Gothic"/>
      <family val="2"/>
      <scheme val="minor"/>
    </font>
    <font>
      <b/>
      <sz val="16"/>
      <name val="Century Gothic"/>
      <family val="2"/>
      <scheme val="minor"/>
    </font>
    <font>
      <sz val="16"/>
      <name val="Century Gothic"/>
      <family val="2"/>
      <scheme val="minor"/>
    </font>
    <font>
      <sz val="10"/>
      <color theme="0"/>
      <name val="Century Gothic"/>
      <family val="2"/>
      <scheme val="minor"/>
    </font>
  </fonts>
  <fills count="14">
    <fill>
      <patternFill patternType="none"/>
    </fill>
    <fill>
      <patternFill patternType="gray125"/>
    </fill>
    <fill>
      <patternFill patternType="solid">
        <fgColor theme="3" tint="0.79998168889431442"/>
        <bgColor indexed="64"/>
      </patternFill>
    </fill>
    <fill>
      <patternFill patternType="solid">
        <fgColor theme="3" tint="0.59999389629810485"/>
        <bgColor indexed="64"/>
      </patternFill>
    </fill>
    <fill>
      <patternFill patternType="solid">
        <fgColor theme="8" tint="0.59999389629810485"/>
        <bgColor indexed="64"/>
      </patternFill>
    </fill>
    <fill>
      <patternFill patternType="solid">
        <fgColor theme="4"/>
        <bgColor indexed="64"/>
      </patternFill>
    </fill>
    <fill>
      <patternFill patternType="solid">
        <fgColor theme="6" tint="0.59999389629810485"/>
        <bgColor indexed="64"/>
      </patternFill>
    </fill>
    <fill>
      <patternFill patternType="solid">
        <fgColor theme="6" tint="0.39997558519241921"/>
        <bgColor indexed="64"/>
      </patternFill>
    </fill>
    <fill>
      <patternFill patternType="solid">
        <fgColor theme="6" tint="0.79998168889431442"/>
        <bgColor indexed="64"/>
      </patternFill>
    </fill>
    <fill>
      <patternFill patternType="solid">
        <fgColor theme="0"/>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5" tint="0.59999389629810485"/>
        <bgColor indexed="64"/>
      </patternFill>
    </fill>
    <fill>
      <patternFill patternType="solid">
        <fgColor theme="5" tint="0.79998168889431442"/>
        <bgColor indexed="64"/>
      </patternFill>
    </fill>
  </fills>
  <borders count="52">
    <border>
      <left/>
      <right/>
      <top/>
      <bottom/>
      <diagonal/>
    </border>
    <border>
      <left style="medium">
        <color indexed="64"/>
      </left>
      <right style="medium">
        <color indexed="64"/>
      </right>
      <top style="medium">
        <color indexed="64"/>
      </top>
      <bottom style="dashed">
        <color indexed="64"/>
      </bottom>
      <diagonal/>
    </border>
    <border>
      <left style="medium">
        <color indexed="64"/>
      </left>
      <right style="medium">
        <color indexed="64"/>
      </right>
      <top style="dashed">
        <color indexed="64"/>
      </top>
      <bottom style="dashed">
        <color indexed="64"/>
      </bottom>
      <diagonal/>
    </border>
    <border>
      <left style="medium">
        <color indexed="64"/>
      </left>
      <right style="medium">
        <color indexed="64"/>
      </right>
      <top style="dashed">
        <color indexed="64"/>
      </top>
      <bottom style="medium">
        <color indexed="64"/>
      </bottom>
      <diagonal/>
    </border>
    <border>
      <left/>
      <right/>
      <top style="medium">
        <color indexed="64"/>
      </top>
      <bottom/>
      <diagonal/>
    </border>
    <border>
      <left/>
      <right/>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dashed">
        <color indexed="64"/>
      </bottom>
      <diagonal/>
    </border>
    <border>
      <left style="medium">
        <color indexed="64"/>
      </left>
      <right/>
      <top style="dashed">
        <color indexed="64"/>
      </top>
      <bottom style="dashed">
        <color indexed="64"/>
      </bottom>
      <diagonal/>
    </border>
    <border>
      <left style="medium">
        <color indexed="64"/>
      </left>
      <right/>
      <top style="dashed">
        <color indexed="64"/>
      </top>
      <bottom style="medium">
        <color indexed="64"/>
      </bottom>
      <diagonal/>
    </border>
    <border>
      <left style="medium">
        <color indexed="64"/>
      </left>
      <right style="medium">
        <color indexed="64"/>
      </right>
      <top/>
      <bottom style="thin">
        <color indexed="64"/>
      </bottom>
      <diagonal/>
    </border>
    <border>
      <left style="medium">
        <color indexed="64"/>
      </left>
      <right style="medium">
        <color indexed="64"/>
      </right>
      <top style="medium">
        <color indexed="64"/>
      </top>
      <bottom/>
      <diagonal/>
    </border>
    <border>
      <left style="thin">
        <color indexed="64"/>
      </left>
      <right style="medium">
        <color indexed="64"/>
      </right>
      <top style="medium">
        <color indexed="64"/>
      </top>
      <bottom style="dashed">
        <color indexed="64"/>
      </bottom>
      <diagonal/>
    </border>
    <border>
      <left style="thin">
        <color indexed="64"/>
      </left>
      <right style="medium">
        <color indexed="64"/>
      </right>
      <top style="dashed">
        <color indexed="64"/>
      </top>
      <bottom style="dashed">
        <color indexed="64"/>
      </bottom>
      <diagonal/>
    </border>
    <border>
      <left style="thin">
        <color indexed="64"/>
      </left>
      <right style="medium">
        <color indexed="64"/>
      </right>
      <top style="dashed">
        <color indexed="64"/>
      </top>
      <bottom style="medium">
        <color indexed="64"/>
      </bottom>
      <diagonal/>
    </border>
    <border>
      <left style="medium">
        <color indexed="64"/>
      </left>
      <right/>
      <top/>
      <bottom style="dashed">
        <color indexed="64"/>
      </bottom>
      <diagonal/>
    </border>
    <border>
      <left style="thin">
        <color indexed="64"/>
      </left>
      <right style="medium">
        <color indexed="64"/>
      </right>
      <top/>
      <bottom style="dashed">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hair">
        <color indexed="64"/>
      </bottom>
      <diagonal/>
    </border>
    <border>
      <left style="medium">
        <color indexed="64"/>
      </left>
      <right style="medium">
        <color indexed="64"/>
      </right>
      <top style="hair">
        <color indexed="64"/>
      </top>
      <bottom style="thin">
        <color indexed="64"/>
      </bottom>
      <diagonal/>
    </border>
    <border>
      <left style="medium">
        <color indexed="64"/>
      </left>
      <right style="medium">
        <color indexed="64"/>
      </right>
      <top style="thin">
        <color indexed="64"/>
      </top>
      <bottom style="hair">
        <color indexed="64"/>
      </bottom>
      <diagonal/>
    </border>
    <border>
      <left style="medium">
        <color indexed="64"/>
      </left>
      <right/>
      <top style="thin">
        <color indexed="64"/>
      </top>
      <bottom/>
      <diagonal/>
    </border>
    <border>
      <left style="medium">
        <color indexed="64"/>
      </left>
      <right style="medium">
        <color indexed="64"/>
      </right>
      <top style="hair">
        <color indexed="64"/>
      </top>
      <bottom style="medium">
        <color indexed="64"/>
      </bottom>
      <diagonal/>
    </border>
    <border>
      <left style="medium">
        <color indexed="64"/>
      </left>
      <right style="medium">
        <color indexed="64"/>
      </right>
      <top/>
      <bottom style="medium">
        <color indexed="64"/>
      </bottom>
      <diagonal/>
    </border>
    <border>
      <left style="medium">
        <color indexed="64"/>
      </left>
      <right style="medium">
        <color indexed="64"/>
      </right>
      <top style="dashed">
        <color indexed="64"/>
      </top>
      <bottom/>
      <diagonal/>
    </border>
    <border>
      <left style="medium">
        <color indexed="64"/>
      </left>
      <right style="medium">
        <color indexed="64"/>
      </right>
      <top/>
      <bottom style="dashed">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style="medium">
        <color indexed="64"/>
      </left>
      <right/>
      <top style="dashed">
        <color indexed="64"/>
      </top>
      <bottom/>
      <diagonal/>
    </border>
    <border>
      <left style="medium">
        <color indexed="64"/>
      </left>
      <right style="medium">
        <color indexed="64"/>
      </right>
      <top style="thin">
        <color indexed="64"/>
      </top>
      <bottom style="medium">
        <color indexed="64"/>
      </bottom>
      <diagonal/>
    </border>
    <border>
      <left style="thin">
        <color indexed="64"/>
      </left>
      <right/>
      <top/>
      <bottom/>
      <diagonal/>
    </border>
    <border>
      <left/>
      <right/>
      <top style="thin">
        <color indexed="64"/>
      </top>
      <bottom style="thin">
        <color indexed="64"/>
      </bottom>
      <diagonal/>
    </border>
    <border>
      <left/>
      <right/>
      <top style="dashed">
        <color indexed="64"/>
      </top>
      <bottom style="dashed">
        <color indexed="64"/>
      </bottom>
      <diagonal/>
    </border>
    <border>
      <left/>
      <right/>
      <top style="dashed">
        <color indexed="64"/>
      </top>
      <bottom/>
      <diagonal/>
    </border>
    <border>
      <left/>
      <right/>
      <top style="dashed">
        <color indexed="64"/>
      </top>
      <bottom style="medium">
        <color indexed="64"/>
      </bottom>
      <diagonal/>
    </border>
    <border>
      <left/>
      <right/>
      <top/>
      <bottom style="thin">
        <color indexed="64"/>
      </bottom>
      <diagonal/>
    </border>
  </borders>
  <cellStyleXfs count="4">
    <xf numFmtId="0" fontId="0" fillId="0" borderId="0"/>
    <xf numFmtId="0" fontId="1" fillId="0" borderId="0" applyNumberFormat="0" applyFill="0" applyBorder="0" applyAlignment="0" applyProtection="0">
      <alignment vertical="top"/>
      <protection locked="0"/>
    </xf>
    <xf numFmtId="0" fontId="8" fillId="0" borderId="0"/>
    <xf numFmtId="0" fontId="5" fillId="0" borderId="0"/>
  </cellStyleXfs>
  <cellXfs count="150">
    <xf numFmtId="0" fontId="0" fillId="0" borderId="0" xfId="0"/>
    <xf numFmtId="0" fontId="8" fillId="0" borderId="2" xfId="1" applyFont="1" applyFill="1" applyBorder="1" applyAlignment="1" applyProtection="1">
      <alignment horizontal="center" vertical="center" wrapText="1"/>
      <protection locked="0"/>
    </xf>
    <xf numFmtId="0" fontId="8" fillId="0" borderId="2" xfId="0" applyFont="1" applyBorder="1" applyAlignment="1" applyProtection="1">
      <alignment horizontal="center" vertical="center" wrapText="1"/>
      <protection locked="0"/>
    </xf>
    <xf numFmtId="0" fontId="8" fillId="0" borderId="3" xfId="0" applyFont="1" applyBorder="1" applyAlignment="1" applyProtection="1">
      <alignment horizontal="center" vertical="center" wrapText="1"/>
      <protection locked="0"/>
    </xf>
    <xf numFmtId="0" fontId="8" fillId="0" borderId="1" xfId="0" applyFont="1" applyBorder="1" applyAlignment="1" applyProtection="1">
      <alignment horizontal="center" vertical="center" wrapText="1"/>
      <protection locked="0"/>
    </xf>
    <xf numFmtId="0" fontId="8" fillId="0" borderId="1" xfId="1" applyFont="1" applyFill="1" applyBorder="1" applyAlignment="1" applyProtection="1">
      <alignment horizontal="center" vertical="center" wrapText="1"/>
      <protection locked="0"/>
    </xf>
    <xf numFmtId="0" fontId="6" fillId="2" borderId="14" xfId="0" applyFont="1" applyFill="1" applyBorder="1" applyAlignment="1">
      <alignment horizontal="center" vertical="center"/>
    </xf>
    <xf numFmtId="0" fontId="7" fillId="2" borderId="12" xfId="0" quotePrefix="1" applyFont="1" applyFill="1" applyBorder="1" applyAlignment="1">
      <alignment horizontal="centerContinuous" vertical="center"/>
    </xf>
    <xf numFmtId="0" fontId="6" fillId="3" borderId="15" xfId="0" applyFont="1" applyFill="1" applyBorder="1" applyAlignment="1">
      <alignment horizontal="center" vertical="center"/>
    </xf>
    <xf numFmtId="0" fontId="8" fillId="0" borderId="1" xfId="0" applyFont="1" applyBorder="1" applyAlignment="1" applyProtection="1">
      <alignment horizontal="left" vertical="top" wrapText="1"/>
      <protection locked="0"/>
    </xf>
    <xf numFmtId="0" fontId="8" fillId="0" borderId="2" xfId="0" applyFont="1" applyBorder="1" applyAlignment="1" applyProtection="1">
      <alignment horizontal="left" vertical="top" wrapText="1"/>
      <protection locked="0"/>
    </xf>
    <xf numFmtId="0" fontId="8" fillId="0" borderId="3" xfId="0" applyFont="1" applyBorder="1" applyAlignment="1" applyProtection="1">
      <alignment horizontal="left" vertical="top" wrapText="1"/>
      <protection locked="0"/>
    </xf>
    <xf numFmtId="0" fontId="8" fillId="4" borderId="15" xfId="0" applyFont="1" applyFill="1" applyBorder="1" applyAlignment="1">
      <alignment horizontal="center" vertical="center" wrapText="1"/>
    </xf>
    <xf numFmtId="0" fontId="8" fillId="4" borderId="13" xfId="0" applyFont="1" applyFill="1" applyBorder="1" applyAlignment="1">
      <alignment horizontal="left" vertical="top" wrapText="1"/>
    </xf>
    <xf numFmtId="0" fontId="10" fillId="5" borderId="0" xfId="0" applyFont="1" applyFill="1" applyAlignment="1">
      <alignment horizontal="center"/>
    </xf>
    <xf numFmtId="0" fontId="3" fillId="6" borderId="15" xfId="0" applyFont="1" applyFill="1" applyBorder="1" applyAlignment="1">
      <alignment horizontal="center" vertical="center" wrapText="1"/>
    </xf>
    <xf numFmtId="1" fontId="2" fillId="7" borderId="27" xfId="0" applyNumberFormat="1" applyFont="1" applyFill="1" applyBorder="1" applyAlignment="1">
      <alignment horizontal="center" vertical="center"/>
    </xf>
    <xf numFmtId="0" fontId="6" fillId="2" borderId="14" xfId="0" applyFont="1" applyFill="1" applyBorder="1" applyAlignment="1">
      <alignment horizontal="right" vertical="center"/>
    </xf>
    <xf numFmtId="0" fontId="11" fillId="3" borderId="15" xfId="0" applyFont="1" applyFill="1" applyBorder="1" applyAlignment="1">
      <alignment horizontal="center" vertical="center" wrapText="1"/>
    </xf>
    <xf numFmtId="0" fontId="0" fillId="9" borderId="9" xfId="0" applyFill="1" applyBorder="1"/>
    <xf numFmtId="0" fontId="0" fillId="9" borderId="0" xfId="0" applyFill="1"/>
    <xf numFmtId="0" fontId="0" fillId="9" borderId="5" xfId="0" applyFill="1" applyBorder="1"/>
    <xf numFmtId="1" fontId="2" fillId="7" borderId="28" xfId="0" applyNumberFormat="1" applyFont="1" applyFill="1" applyBorder="1" applyAlignment="1">
      <alignment horizontal="center" vertical="center"/>
    </xf>
    <xf numFmtId="0" fontId="3" fillId="6" borderId="15" xfId="0" applyFont="1" applyFill="1" applyBorder="1" applyAlignment="1">
      <alignment horizontal="center" vertical="center"/>
    </xf>
    <xf numFmtId="0" fontId="12" fillId="0" borderId="0" xfId="0" applyFont="1"/>
    <xf numFmtId="0" fontId="3" fillId="10" borderId="30" xfId="0" applyFont="1" applyFill="1" applyBorder="1" applyAlignment="1">
      <alignment horizontal="right" vertical="center" wrapText="1" indent="1"/>
    </xf>
    <xf numFmtId="0" fontId="3" fillId="10" borderId="31" xfId="0" applyFont="1" applyFill="1" applyBorder="1" applyAlignment="1">
      <alignment horizontal="right" vertical="center" indent="1"/>
    </xf>
    <xf numFmtId="1" fontId="3" fillId="10" borderId="29" xfId="0" applyNumberFormat="1" applyFont="1" applyFill="1" applyBorder="1" applyAlignment="1">
      <alignment horizontal="center" vertical="center"/>
    </xf>
    <xf numFmtId="1" fontId="3" fillId="10" borderId="32" xfId="0" applyNumberFormat="1" applyFont="1" applyFill="1" applyBorder="1" applyAlignment="1">
      <alignment horizontal="center" vertical="center"/>
    </xf>
    <xf numFmtId="0" fontId="0" fillId="9" borderId="8" xfId="0" applyFill="1" applyBorder="1"/>
    <xf numFmtId="0" fontId="6" fillId="9" borderId="0" xfId="0" applyFont="1" applyFill="1" applyAlignment="1">
      <alignment horizontal="center" vertical="center"/>
    </xf>
    <xf numFmtId="0" fontId="7" fillId="9" borderId="0" xfId="0" quotePrefix="1" applyFont="1" applyFill="1" applyAlignment="1">
      <alignment horizontal="centerContinuous" vertical="center"/>
    </xf>
    <xf numFmtId="0" fontId="6" fillId="9" borderId="0" xfId="0" applyFont="1" applyFill="1" applyAlignment="1">
      <alignment horizontal="right" vertical="center"/>
    </xf>
    <xf numFmtId="0" fontId="7" fillId="9" borderId="0" xfId="0" applyFont="1" applyFill="1" applyAlignment="1">
      <alignment horizontal="left" vertical="center"/>
    </xf>
    <xf numFmtId="0" fontId="11" fillId="9" borderId="0" xfId="0" applyFont="1" applyFill="1" applyAlignment="1">
      <alignment horizontal="center" vertical="center" wrapText="1"/>
    </xf>
    <xf numFmtId="0" fontId="8" fillId="9" borderId="0" xfId="1" applyFont="1" applyFill="1" applyBorder="1" applyAlignment="1" applyProtection="1">
      <alignment horizontal="center" vertical="center" wrapText="1"/>
      <protection locked="0"/>
    </xf>
    <xf numFmtId="0" fontId="8" fillId="9" borderId="0" xfId="0" applyFont="1" applyFill="1" applyAlignment="1" applyProtection="1">
      <alignment horizontal="center" vertical="center" wrapText="1"/>
      <protection locked="0"/>
    </xf>
    <xf numFmtId="0" fontId="8" fillId="9" borderId="0" xfId="0" applyFont="1" applyFill="1" applyAlignment="1" applyProtection="1">
      <alignment horizontal="left" vertical="top" wrapText="1"/>
      <protection locked="0"/>
    </xf>
    <xf numFmtId="0" fontId="8" fillId="9" borderId="0" xfId="0" applyFont="1" applyFill="1" applyAlignment="1">
      <alignment horizontal="center" vertical="center" wrapText="1"/>
    </xf>
    <xf numFmtId="0" fontId="8" fillId="9" borderId="0" xfId="0" applyFont="1" applyFill="1" applyAlignment="1">
      <alignment horizontal="left" vertical="top" wrapText="1"/>
    </xf>
    <xf numFmtId="0" fontId="10" fillId="9" borderId="0" xfId="0" applyFont="1" applyFill="1" applyAlignment="1">
      <alignment horizontal="center"/>
    </xf>
    <xf numFmtId="0" fontId="4" fillId="9" borderId="0" xfId="0" applyFont="1" applyFill="1"/>
    <xf numFmtId="0" fontId="6" fillId="13" borderId="14" xfId="0" applyFont="1" applyFill="1" applyBorder="1" applyAlignment="1">
      <alignment horizontal="center" vertical="center"/>
    </xf>
    <xf numFmtId="0" fontId="7" fillId="13" borderId="12" xfId="0" quotePrefix="1" applyFont="1" applyFill="1" applyBorder="1" applyAlignment="1">
      <alignment horizontal="centerContinuous" vertical="center"/>
    </xf>
    <xf numFmtId="0" fontId="6" fillId="13" borderId="14" xfId="0" applyFont="1" applyFill="1" applyBorder="1" applyAlignment="1">
      <alignment horizontal="right" vertical="center"/>
    </xf>
    <xf numFmtId="0" fontId="6" fillId="12" borderId="15" xfId="0" applyFont="1" applyFill="1" applyBorder="1" applyAlignment="1">
      <alignment horizontal="center" vertical="center"/>
    </xf>
    <xf numFmtId="0" fontId="11" fillId="12" borderId="15" xfId="0" applyFont="1" applyFill="1" applyBorder="1" applyAlignment="1">
      <alignment horizontal="center" vertical="center" wrapText="1"/>
    </xf>
    <xf numFmtId="0" fontId="8" fillId="12" borderId="15" xfId="0" applyFont="1" applyFill="1" applyBorder="1" applyAlignment="1">
      <alignment horizontal="center" vertical="center" wrapText="1"/>
    </xf>
    <xf numFmtId="0" fontId="8" fillId="12" borderId="13" xfId="0" applyFont="1" applyFill="1" applyBorder="1" applyAlignment="1">
      <alignment horizontal="left" vertical="top" wrapText="1"/>
    </xf>
    <xf numFmtId="0" fontId="10" fillId="11" borderId="0" xfId="0" applyFont="1" applyFill="1" applyAlignment="1">
      <alignment horizontal="center"/>
    </xf>
    <xf numFmtId="0" fontId="8" fillId="0" borderId="33" xfId="0" applyFont="1" applyBorder="1" applyAlignment="1" applyProtection="1">
      <alignment horizontal="center" vertical="center" wrapText="1"/>
      <protection locked="0"/>
    </xf>
    <xf numFmtId="0" fontId="8" fillId="0" borderId="33" xfId="0" applyFont="1" applyBorder="1" applyAlignment="1" applyProtection="1">
      <alignment horizontal="left" vertical="top" wrapText="1"/>
      <protection locked="0"/>
    </xf>
    <xf numFmtId="0" fontId="0" fillId="9" borderId="0" xfId="0" applyFill="1" applyProtection="1">
      <protection locked="0"/>
    </xf>
    <xf numFmtId="164" fontId="7" fillId="13" borderId="13" xfId="0" applyNumberFormat="1" applyFont="1" applyFill="1" applyBorder="1" applyAlignment="1" applyProtection="1">
      <alignment horizontal="left" vertical="center"/>
      <protection locked="0"/>
    </xf>
    <xf numFmtId="0" fontId="13" fillId="9" borderId="6" xfId="0" applyFont="1" applyFill="1" applyBorder="1"/>
    <xf numFmtId="0" fontId="8" fillId="9" borderId="4" xfId="0" applyFont="1" applyFill="1" applyBorder="1"/>
    <xf numFmtId="0" fontId="8" fillId="9" borderId="7" xfId="0" applyFont="1" applyFill="1" applyBorder="1"/>
    <xf numFmtId="0" fontId="8" fillId="0" borderId="0" xfId="0" applyFont="1"/>
    <xf numFmtId="0" fontId="13" fillId="9" borderId="8" xfId="0" applyFont="1" applyFill="1" applyBorder="1"/>
    <xf numFmtId="0" fontId="8" fillId="9" borderId="0" xfId="0" applyFont="1" applyFill="1"/>
    <xf numFmtId="0" fontId="8" fillId="9" borderId="9" xfId="0" applyFont="1" applyFill="1" applyBorder="1"/>
    <xf numFmtId="0" fontId="14" fillId="6" borderId="16" xfId="0" applyFont="1" applyFill="1" applyBorder="1" applyAlignment="1">
      <alignment vertical="center"/>
    </xf>
    <xf numFmtId="0" fontId="15" fillId="8" borderId="21" xfId="0" applyFont="1" applyFill="1" applyBorder="1" applyAlignment="1" applyProtection="1">
      <alignment horizontal="left" vertical="center" indent="2"/>
      <protection locked="0"/>
    </xf>
    <xf numFmtId="0" fontId="14" fillId="6" borderId="17" xfId="0" applyFont="1" applyFill="1" applyBorder="1" applyAlignment="1">
      <alignment vertical="center"/>
    </xf>
    <xf numFmtId="0" fontId="15" fillId="8" borderId="22" xfId="0" applyFont="1" applyFill="1" applyBorder="1" applyAlignment="1" applyProtection="1">
      <alignment horizontal="left" vertical="center" indent="2"/>
      <protection locked="0"/>
    </xf>
    <xf numFmtId="0" fontId="14" fillId="6" borderId="18" xfId="0" applyFont="1" applyFill="1" applyBorder="1" applyAlignment="1">
      <alignment vertical="center"/>
    </xf>
    <xf numFmtId="0" fontId="15" fillId="8" borderId="23" xfId="0" applyFont="1" applyFill="1" applyBorder="1" applyAlignment="1" applyProtection="1">
      <alignment horizontal="left" vertical="center" indent="2"/>
      <protection locked="0"/>
    </xf>
    <xf numFmtId="164" fontId="15" fillId="8" borderId="21" xfId="0" applyNumberFormat="1" applyFont="1" applyFill="1" applyBorder="1" applyAlignment="1" applyProtection="1">
      <alignment horizontal="left" vertical="center" indent="2"/>
      <protection locked="0"/>
    </xf>
    <xf numFmtId="0" fontId="14" fillId="6" borderId="24" xfId="0" applyFont="1" applyFill="1" applyBorder="1" applyAlignment="1">
      <alignment vertical="center"/>
    </xf>
    <xf numFmtId="164" fontId="15" fillId="8" borderId="25" xfId="0" applyNumberFormat="1" applyFont="1" applyFill="1" applyBorder="1" applyAlignment="1" applyProtection="1">
      <alignment horizontal="left" vertical="center" indent="2"/>
      <protection locked="0"/>
    </xf>
    <xf numFmtId="1" fontId="15" fillId="8" borderId="25" xfId="0" applyNumberFormat="1" applyFont="1" applyFill="1" applyBorder="1" applyAlignment="1" applyProtection="1">
      <alignment horizontal="left" vertical="center" indent="2"/>
      <protection locked="0"/>
    </xf>
    <xf numFmtId="1" fontId="15" fillId="8" borderId="22" xfId="0" applyNumberFormat="1" applyFont="1" applyFill="1" applyBorder="1" applyAlignment="1" applyProtection="1">
      <alignment horizontal="left" vertical="center" indent="2"/>
      <protection locked="0"/>
    </xf>
    <xf numFmtId="0" fontId="15" fillId="6" borderId="10" xfId="0" applyFont="1" applyFill="1" applyBorder="1" applyAlignment="1">
      <alignment vertical="center"/>
    </xf>
    <xf numFmtId="0" fontId="15" fillId="8" borderId="26" xfId="0" applyFont="1" applyFill="1" applyBorder="1" applyAlignment="1">
      <alignment vertical="center"/>
    </xf>
    <xf numFmtId="0" fontId="13" fillId="9" borderId="10" xfId="0" applyFont="1" applyFill="1" applyBorder="1"/>
    <xf numFmtId="0" fontId="8" fillId="9" borderId="5" xfId="0" applyFont="1" applyFill="1" applyBorder="1"/>
    <xf numFmtId="0" fontId="8" fillId="9" borderId="11" xfId="0" applyFont="1" applyFill="1" applyBorder="1"/>
    <xf numFmtId="0" fontId="8" fillId="9" borderId="6" xfId="0" applyFont="1" applyFill="1" applyBorder="1"/>
    <xf numFmtId="0" fontId="8" fillId="9" borderId="8" xfId="0" applyFont="1" applyFill="1" applyBorder="1"/>
    <xf numFmtId="0" fontId="14" fillId="6" borderId="24" xfId="0" applyFont="1" applyFill="1" applyBorder="1" applyAlignment="1">
      <alignment horizontal="right" vertical="center"/>
    </xf>
    <xf numFmtId="164" fontId="15" fillId="6" borderId="25" xfId="0" applyNumberFormat="1" applyFont="1" applyFill="1" applyBorder="1" applyAlignment="1">
      <alignment horizontal="left" vertical="center" indent="2"/>
    </xf>
    <xf numFmtId="0" fontId="14" fillId="6" borderId="17" xfId="0" applyFont="1" applyFill="1" applyBorder="1" applyAlignment="1">
      <alignment horizontal="right" vertical="center"/>
    </xf>
    <xf numFmtId="0" fontId="14" fillId="6" borderId="8" xfId="0" applyFont="1" applyFill="1" applyBorder="1" applyAlignment="1">
      <alignment horizontal="right" vertical="center"/>
    </xf>
    <xf numFmtId="1" fontId="15" fillId="8" borderId="23" xfId="0" applyNumberFormat="1" applyFont="1" applyFill="1" applyBorder="1" applyAlignment="1" applyProtection="1">
      <alignment horizontal="left" vertical="center" indent="2"/>
      <protection locked="0"/>
    </xf>
    <xf numFmtId="0" fontId="8" fillId="9" borderId="10" xfId="0" applyFont="1" applyFill="1" applyBorder="1"/>
    <xf numFmtId="0" fontId="7" fillId="2" borderId="13" xfId="0" applyFont="1" applyFill="1" applyBorder="1" applyAlignment="1" applyProtection="1">
      <alignment horizontal="left" vertical="center"/>
      <protection locked="0"/>
    </xf>
    <xf numFmtId="0" fontId="16" fillId="9" borderId="0" xfId="0" applyFont="1" applyFill="1"/>
    <xf numFmtId="0" fontId="9" fillId="12" borderId="13" xfId="0" applyFont="1" applyFill="1" applyBorder="1" applyAlignment="1">
      <alignment horizontal="left" vertical="top" wrapText="1"/>
    </xf>
    <xf numFmtId="0" fontId="0" fillId="0" borderId="1" xfId="0" applyBorder="1" applyAlignment="1" applyProtection="1">
      <alignment horizontal="left" vertical="top" wrapText="1"/>
      <protection locked="0"/>
    </xf>
    <xf numFmtId="0" fontId="0" fillId="0" borderId="2" xfId="0" applyBorder="1" applyAlignment="1" applyProtection="1">
      <alignment horizontal="left" vertical="top" wrapText="1"/>
      <protection locked="0"/>
    </xf>
    <xf numFmtId="0" fontId="9" fillId="0" borderId="2" xfId="0" applyFont="1" applyBorder="1" applyAlignment="1" applyProtection="1">
      <alignment horizontal="left" vertical="top" wrapText="1"/>
      <protection locked="0"/>
    </xf>
    <xf numFmtId="0" fontId="1" fillId="0" borderId="2" xfId="1" applyBorder="1" applyAlignment="1" applyProtection="1">
      <alignment horizontal="left" vertical="top" wrapText="1"/>
      <protection locked="0"/>
    </xf>
    <xf numFmtId="0" fontId="9" fillId="0" borderId="1" xfId="0" applyFont="1" applyBorder="1" applyAlignment="1" applyProtection="1">
      <alignment horizontal="left" vertical="top" wrapText="1"/>
      <protection locked="0"/>
    </xf>
    <xf numFmtId="0" fontId="0" fillId="0" borderId="2" xfId="0" applyFont="1" applyBorder="1" applyAlignment="1" applyProtection="1">
      <alignment horizontal="left" vertical="top" wrapText="1"/>
      <protection locked="0"/>
    </xf>
    <xf numFmtId="0" fontId="6" fillId="9" borderId="20" xfId="0" applyFont="1" applyFill="1" applyBorder="1" applyAlignment="1">
      <alignment horizontal="center" vertical="center"/>
    </xf>
    <xf numFmtId="0" fontId="11" fillId="9" borderId="20" xfId="0" applyFont="1" applyFill="1" applyBorder="1" applyAlignment="1">
      <alignment horizontal="center" vertical="center" wrapText="1"/>
    </xf>
    <xf numFmtId="0" fontId="8" fillId="0" borderId="20" xfId="1" applyFont="1" applyFill="1" applyBorder="1" applyAlignment="1" applyProtection="1">
      <alignment horizontal="center" vertical="center" wrapText="1"/>
      <protection locked="0"/>
    </xf>
    <xf numFmtId="0" fontId="8" fillId="0" borderId="34" xfId="1" applyFont="1" applyFill="1" applyBorder="1" applyAlignment="1" applyProtection="1">
      <alignment horizontal="center" vertical="center" wrapText="1"/>
      <protection locked="0"/>
    </xf>
    <xf numFmtId="0" fontId="8" fillId="0" borderId="34" xfId="0" applyFont="1" applyBorder="1" applyAlignment="1" applyProtection="1">
      <alignment horizontal="center" vertical="center" wrapText="1"/>
      <protection locked="0"/>
    </xf>
    <xf numFmtId="0" fontId="0" fillId="0" borderId="34" xfId="0" applyBorder="1" applyAlignment="1" applyProtection="1">
      <alignment horizontal="left" vertical="top" wrapText="1"/>
      <protection locked="0"/>
    </xf>
    <xf numFmtId="0" fontId="1" fillId="0" borderId="34" xfId="1" applyBorder="1" applyAlignment="1" applyProtection="1">
      <alignment horizontal="left" vertical="top" wrapText="1"/>
      <protection locked="0"/>
    </xf>
    <xf numFmtId="0" fontId="8" fillId="0" borderId="15" xfId="1" applyFont="1" applyFill="1" applyBorder="1" applyAlignment="1" applyProtection="1">
      <alignment horizontal="center" vertical="center" wrapText="1"/>
      <protection locked="0"/>
    </xf>
    <xf numFmtId="0" fontId="11" fillId="9" borderId="15" xfId="0" applyFont="1" applyFill="1" applyBorder="1" applyAlignment="1">
      <alignment horizontal="center" vertical="center" wrapText="1"/>
    </xf>
    <xf numFmtId="0" fontId="6" fillId="9" borderId="15" xfId="0" applyFont="1" applyFill="1" applyBorder="1" applyAlignment="1">
      <alignment horizontal="center" vertical="center"/>
    </xf>
    <xf numFmtId="0" fontId="8" fillId="0" borderId="34" xfId="0" applyFont="1" applyBorder="1" applyAlignment="1" applyProtection="1">
      <alignment horizontal="left" vertical="top" wrapText="1"/>
      <protection locked="0"/>
    </xf>
    <xf numFmtId="0" fontId="10" fillId="9" borderId="35" xfId="0" applyFont="1" applyFill="1" applyBorder="1" applyAlignment="1">
      <alignment horizontal="center" vertical="center" wrapText="1"/>
    </xf>
    <xf numFmtId="0" fontId="0" fillId="9" borderId="35" xfId="0" applyFill="1" applyBorder="1" applyAlignment="1">
      <alignment horizontal="left" vertical="center" wrapText="1"/>
    </xf>
    <xf numFmtId="0" fontId="8" fillId="0" borderId="37" xfId="1" applyFont="1" applyFill="1" applyBorder="1" applyAlignment="1" applyProtection="1">
      <alignment horizontal="center" vertical="center" wrapText="1"/>
      <protection locked="0"/>
    </xf>
    <xf numFmtId="0" fontId="10" fillId="9" borderId="19" xfId="0" applyFont="1" applyFill="1" applyBorder="1" applyAlignment="1">
      <alignment horizontal="center" vertical="center" wrapText="1"/>
    </xf>
    <xf numFmtId="0" fontId="0" fillId="9" borderId="19" xfId="0" applyFill="1" applyBorder="1" applyAlignment="1">
      <alignment horizontal="left" vertical="center" wrapText="1"/>
    </xf>
    <xf numFmtId="0" fontId="6" fillId="9" borderId="38" xfId="0" applyFont="1" applyFill="1" applyBorder="1" applyAlignment="1">
      <alignment horizontal="center" vertical="center"/>
    </xf>
    <xf numFmtId="0" fontId="8" fillId="0" borderId="39" xfId="1" applyFont="1" applyFill="1" applyBorder="1" applyAlignment="1" applyProtection="1">
      <alignment horizontal="center" vertical="center" wrapText="1"/>
      <protection locked="0"/>
    </xf>
    <xf numFmtId="0" fontId="10" fillId="9" borderId="40" xfId="0" applyFont="1" applyFill="1" applyBorder="1" applyAlignment="1">
      <alignment horizontal="center" vertical="center" wrapText="1"/>
    </xf>
    <xf numFmtId="0" fontId="0" fillId="9" borderId="40" xfId="0" applyFill="1" applyBorder="1" applyAlignment="1">
      <alignment horizontal="left" vertical="center" wrapText="1"/>
    </xf>
    <xf numFmtId="0" fontId="6" fillId="9" borderId="41" xfId="0" applyFont="1" applyFill="1" applyBorder="1" applyAlignment="1">
      <alignment horizontal="center" vertical="center"/>
    </xf>
    <xf numFmtId="0" fontId="6" fillId="12" borderId="20" xfId="0" applyFont="1" applyFill="1" applyBorder="1" applyAlignment="1">
      <alignment horizontal="center" vertical="center"/>
    </xf>
    <xf numFmtId="0" fontId="11" fillId="12" borderId="20" xfId="0" applyFont="1" applyFill="1" applyBorder="1" applyAlignment="1">
      <alignment horizontal="center" vertical="center" wrapText="1"/>
    </xf>
    <xf numFmtId="0" fontId="11" fillId="9" borderId="40" xfId="0" applyFont="1" applyFill="1" applyBorder="1" applyAlignment="1">
      <alignment horizontal="center" vertical="center" wrapText="1"/>
    </xf>
    <xf numFmtId="0" fontId="6" fillId="9" borderId="40" xfId="0" applyFont="1" applyFill="1" applyBorder="1" applyAlignment="1">
      <alignment horizontal="center" vertical="center"/>
    </xf>
    <xf numFmtId="0" fontId="6" fillId="9" borderId="35" xfId="0" applyFont="1" applyFill="1" applyBorder="1" applyAlignment="1">
      <alignment horizontal="center" vertical="center"/>
    </xf>
    <xf numFmtId="0" fontId="8" fillId="0" borderId="42" xfId="1" applyFont="1" applyFill="1" applyBorder="1" applyAlignment="1" applyProtection="1">
      <alignment horizontal="center" vertical="center" wrapText="1"/>
      <protection locked="0"/>
    </xf>
    <xf numFmtId="0" fontId="6" fillId="12" borderId="6" xfId="0" applyFont="1" applyFill="1" applyBorder="1" applyAlignment="1">
      <alignment horizontal="center" vertical="center"/>
    </xf>
    <xf numFmtId="0" fontId="8" fillId="0" borderId="43" xfId="1" applyFont="1" applyFill="1" applyBorder="1" applyAlignment="1" applyProtection="1">
      <alignment horizontal="center" vertical="center" wrapText="1"/>
      <protection locked="0"/>
    </xf>
    <xf numFmtId="0" fontId="8" fillId="0" borderId="24" xfId="1" applyFont="1" applyFill="1" applyBorder="1" applyAlignment="1" applyProtection="1">
      <alignment horizontal="center" vertical="center" wrapText="1"/>
      <protection locked="0"/>
    </xf>
    <xf numFmtId="0" fontId="8" fillId="0" borderId="17" xfId="1" applyFont="1" applyFill="1" applyBorder="1" applyAlignment="1" applyProtection="1">
      <alignment horizontal="center" vertical="center" wrapText="1"/>
      <protection locked="0"/>
    </xf>
    <xf numFmtId="0" fontId="8" fillId="0" borderId="17" xfId="0" applyFont="1" applyBorder="1" applyAlignment="1" applyProtection="1">
      <alignment horizontal="center" vertical="center" wrapText="1"/>
      <protection locked="0"/>
    </xf>
    <xf numFmtId="0" fontId="8" fillId="0" borderId="44" xfId="0" applyFont="1" applyBorder="1" applyAlignment="1" applyProtection="1">
      <alignment horizontal="center" vertical="center" wrapText="1"/>
      <protection locked="0"/>
    </xf>
    <xf numFmtId="0" fontId="8" fillId="0" borderId="18" xfId="0" applyFont="1" applyBorder="1" applyAlignment="1" applyProtection="1">
      <alignment horizontal="center" vertical="center" wrapText="1"/>
      <protection locked="0"/>
    </xf>
    <xf numFmtId="0" fontId="8" fillId="12" borderId="14" xfId="0" applyFont="1" applyFill="1" applyBorder="1" applyAlignment="1">
      <alignment horizontal="center" vertical="center" wrapText="1"/>
    </xf>
    <xf numFmtId="0" fontId="7" fillId="13" borderId="4" xfId="0" quotePrefix="1" applyFont="1" applyFill="1" applyBorder="1" applyAlignment="1">
      <alignment horizontal="centerContinuous" vertical="center"/>
    </xf>
    <xf numFmtId="0" fontId="11" fillId="12" borderId="36" xfId="0" applyFont="1" applyFill="1" applyBorder="1" applyAlignment="1">
      <alignment horizontal="center" vertical="center" wrapText="1"/>
    </xf>
    <xf numFmtId="0" fontId="8" fillId="0" borderId="40" xfId="0" applyFont="1" applyBorder="1" applyAlignment="1" applyProtection="1">
      <alignment horizontal="center" vertical="center" wrapText="1"/>
      <protection locked="0"/>
    </xf>
    <xf numFmtId="0" fontId="8" fillId="12" borderId="45" xfId="0" applyFont="1" applyFill="1" applyBorder="1" applyAlignment="1">
      <alignment horizontal="center" vertical="center" wrapText="1"/>
    </xf>
    <xf numFmtId="0" fontId="8" fillId="0" borderId="46" xfId="1" applyFont="1" applyFill="1" applyBorder="1" applyAlignment="1" applyProtection="1">
      <alignment horizontal="center" vertical="center" wrapText="1"/>
      <protection locked="0"/>
    </xf>
    <xf numFmtId="0" fontId="0" fillId="9" borderId="4" xfId="0" applyFill="1" applyBorder="1" applyAlignment="1">
      <alignment horizontal="left" vertical="center" wrapText="1"/>
    </xf>
    <xf numFmtId="0" fontId="6" fillId="12" borderId="4" xfId="0" applyFont="1" applyFill="1" applyBorder="1" applyAlignment="1">
      <alignment horizontal="center" vertical="center"/>
    </xf>
    <xf numFmtId="0" fontId="0" fillId="9" borderId="47" xfId="0" applyFill="1" applyBorder="1" applyAlignment="1">
      <alignment horizontal="left" vertical="center" wrapText="1"/>
    </xf>
    <xf numFmtId="0" fontId="6" fillId="9" borderId="0" xfId="0" applyFont="1" applyFill="1" applyBorder="1" applyAlignment="1">
      <alignment horizontal="center" vertical="center"/>
    </xf>
    <xf numFmtId="0" fontId="0" fillId="0" borderId="48" xfId="0" applyFont="1" applyBorder="1" applyAlignment="1" applyProtection="1">
      <alignment horizontal="left" vertical="top" wrapText="1"/>
      <protection locked="0"/>
    </xf>
    <xf numFmtId="0" fontId="8" fillId="0" borderId="48" xfId="0" applyFont="1" applyBorder="1" applyAlignment="1" applyProtection="1">
      <alignment horizontal="left" vertical="top" wrapText="1"/>
      <protection locked="0"/>
    </xf>
    <xf numFmtId="0" fontId="8" fillId="0" borderId="49" xfId="0" applyFont="1" applyBorder="1" applyAlignment="1" applyProtection="1">
      <alignment horizontal="left" vertical="top" wrapText="1"/>
      <protection locked="0"/>
    </xf>
    <xf numFmtId="0" fontId="8" fillId="0" borderId="50" xfId="0" applyFont="1" applyBorder="1" applyAlignment="1" applyProtection="1">
      <alignment horizontal="left" vertical="top" wrapText="1"/>
      <protection locked="0"/>
    </xf>
    <xf numFmtId="0" fontId="9" fillId="12" borderId="12" xfId="0" applyFont="1" applyFill="1" applyBorder="1" applyAlignment="1">
      <alignment horizontal="left" vertical="top" wrapText="1"/>
    </xf>
    <xf numFmtId="164" fontId="7" fillId="13" borderId="7" xfId="0" applyNumberFormat="1" applyFont="1" applyFill="1" applyBorder="1" applyAlignment="1" applyProtection="1">
      <alignment horizontal="left" vertical="center"/>
      <protection locked="0"/>
    </xf>
    <xf numFmtId="0" fontId="8" fillId="12" borderId="15" xfId="0" applyFont="1" applyFill="1" applyBorder="1" applyAlignment="1">
      <alignment horizontal="left" vertical="top" wrapText="1"/>
    </xf>
    <xf numFmtId="0" fontId="0" fillId="9" borderId="51" xfId="0" applyFill="1" applyBorder="1" applyAlignment="1">
      <alignment horizontal="left" vertical="center" wrapText="1"/>
    </xf>
    <xf numFmtId="0" fontId="14" fillId="6" borderId="14" xfId="0" applyFont="1" applyFill="1" applyBorder="1" applyAlignment="1">
      <alignment horizontal="center" vertical="center"/>
    </xf>
    <xf numFmtId="0" fontId="14" fillId="6" borderId="13" xfId="0" applyFont="1" applyFill="1" applyBorder="1" applyAlignment="1">
      <alignment horizontal="center" vertical="center"/>
    </xf>
    <xf numFmtId="0" fontId="2" fillId="7" borderId="20" xfId="0" applyFont="1" applyFill="1" applyBorder="1" applyAlignment="1">
      <alignment horizontal="left" vertical="center" indent="1"/>
    </xf>
    <xf numFmtId="0" fontId="0" fillId="7" borderId="19" xfId="0" applyFill="1" applyBorder="1"/>
  </cellXfs>
  <cellStyles count="4">
    <cellStyle name="Lien hypertexte" xfId="1" builtinId="8"/>
    <cellStyle name="Normal" xfId="0" builtinId="0" customBuiltin="1"/>
    <cellStyle name="Normal 2" xfId="2" xr:uid="{00000000-0005-0000-0000-000002000000}"/>
    <cellStyle name="Normal 2 2" xfId="3" xr:uid="{00000000-0005-0000-0000-000003000000}"/>
  </cellStyles>
  <dxfs count="0"/>
  <tableStyles count="0" defaultTableStyle="TableStyleMedium9" defaultPivotStyle="PivotStyleLight16"/>
  <colors>
    <mruColors>
      <color rgb="FF28663D"/>
      <color rgb="FF1B952A"/>
      <color rgb="FF20B231"/>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_rels/activeX2.xml.rels><?xml version="1.0" encoding="UTF-8" standalone="yes"?>
<Relationships xmlns="http://schemas.openxmlformats.org/package/2006/relationships"><Relationship Id="rId1" Type="http://schemas.microsoft.com/office/2006/relationships/activeXControlBinary" Target="activeX2.bin"/></Relationships>
</file>

<file path=xl/activeX/_rels/activeX3.xml.rels><?xml version="1.0" encoding="UTF-8" standalone="yes"?>
<Relationships xmlns="http://schemas.openxmlformats.org/package/2006/relationships"><Relationship Id="rId1" Type="http://schemas.microsoft.com/office/2006/relationships/activeXControlBinary" Target="activeX3.bin"/></Relationships>
</file>

<file path=xl/activeX/_rels/activeX4.xml.rels><?xml version="1.0" encoding="UTF-8" standalone="yes"?>
<Relationships xmlns="http://schemas.openxmlformats.org/package/2006/relationships"><Relationship Id="rId1" Type="http://schemas.microsoft.com/office/2006/relationships/activeXControlBinary" Target="activeX4.bin"/></Relationships>
</file>

<file path=xl/activeX/_rels/activeX5.xml.rels><?xml version="1.0" encoding="UTF-8" standalone="yes"?>
<Relationships xmlns="http://schemas.openxmlformats.org/package/2006/relationships"><Relationship Id="rId1" Type="http://schemas.microsoft.com/office/2006/relationships/activeXControlBinary" Target="activeX5.bin"/></Relationships>
</file>

<file path=xl/activeX/_rels/activeX6.xml.rels><?xml version="1.0" encoding="UTF-8" standalone="yes"?>
<Relationships xmlns="http://schemas.openxmlformats.org/package/2006/relationships"><Relationship Id="rId1" Type="http://schemas.microsoft.com/office/2006/relationships/activeXControlBinary" Target="activeX6.bin"/></Relationships>
</file>

<file path=xl/activeX/activeX1.xml><?xml version="1.0" encoding="utf-8"?>
<ax:ocx xmlns:ax="http://schemas.microsoft.com/office/2006/activeX" xmlns:r="http://schemas.openxmlformats.org/officeDocument/2006/relationships" ax:classid="{D7053240-CE69-11CD-A777-00DD01143C57}" ax:persistence="persistStreamInit" r:id="rId1"/>
</file>

<file path=xl/activeX/activeX2.xml><?xml version="1.0" encoding="utf-8"?>
<ax:ocx xmlns:ax="http://schemas.microsoft.com/office/2006/activeX" xmlns:r="http://schemas.openxmlformats.org/officeDocument/2006/relationships" ax:classid="{D7053240-CE69-11CD-A777-00DD01143C57}" ax:persistence="persistStreamInit" r:id="rId1"/>
</file>

<file path=xl/activeX/activeX3.xml><?xml version="1.0" encoding="utf-8"?>
<ax:ocx xmlns:ax="http://schemas.microsoft.com/office/2006/activeX" xmlns:r="http://schemas.openxmlformats.org/officeDocument/2006/relationships" ax:classid="{D7053240-CE69-11CD-A777-00DD01143C57}" ax:persistence="persistStreamInit" r:id="rId1"/>
</file>

<file path=xl/activeX/activeX4.xml><?xml version="1.0" encoding="utf-8"?>
<ax:ocx xmlns:ax="http://schemas.microsoft.com/office/2006/activeX" xmlns:r="http://schemas.openxmlformats.org/officeDocument/2006/relationships" ax:classid="{D7053240-CE69-11CD-A777-00DD01143C57}" ax:persistence="persistStreamInit" r:id="rId1"/>
</file>

<file path=xl/activeX/activeX5.xml><?xml version="1.0" encoding="utf-8"?>
<ax:ocx xmlns:ax="http://schemas.microsoft.com/office/2006/activeX" xmlns:r="http://schemas.openxmlformats.org/officeDocument/2006/relationships" ax:classid="{D7053240-CE69-11CD-A777-00DD01143C57}" ax:persistence="persistStreamInit" r:id="rId1"/>
</file>

<file path=xl/activeX/activeX6.xml><?xml version="1.0" encoding="utf-8"?>
<ax:ocx xmlns:ax="http://schemas.microsoft.com/office/2006/activeX" xmlns:r="http://schemas.openxmlformats.org/officeDocument/2006/relationships" ax:classid="{D7053240-CE69-11CD-A777-00DD01143C57}" ax:persistence="persistStreamInit" r:id="rId1"/>
</file>

<file path=xl/drawings/_rels/vmlDrawing1.vml.rels><?xml version="1.0" encoding="UTF-8" standalone="yes"?>
<Relationships xmlns="http://schemas.openxmlformats.org/package/2006/relationships"><Relationship Id="rId3" Type="http://schemas.openxmlformats.org/officeDocument/2006/relationships/image" Target="../media/image1.emf"/><Relationship Id="rId2" Type="http://schemas.openxmlformats.org/officeDocument/2006/relationships/image" Target="../media/image3.emf"/><Relationship Id="rId1" Type="http://schemas.openxmlformats.org/officeDocument/2006/relationships/image" Target="../media/image2.emf"/></Relationships>
</file>

<file path=xl/drawings/_rels/vmlDrawing2.vml.rels><?xml version="1.0" encoding="UTF-8" standalone="yes"?>
<Relationships xmlns="http://schemas.openxmlformats.org/package/2006/relationships"><Relationship Id="rId1" Type="http://schemas.openxmlformats.org/officeDocument/2006/relationships/image" Target="../media/image4.jpeg"/></Relationships>
</file>

<file path=xl/drawings/_rels/vmlDrawing3.vml.rels><?xml version="1.0" encoding="UTF-8" standalone="yes"?>
<Relationships xmlns="http://schemas.openxmlformats.org/package/2006/relationships"><Relationship Id="rId1" Type="http://schemas.openxmlformats.org/officeDocument/2006/relationships/image" Target="../media/image5.emf"/></Relationships>
</file>

<file path=xl/drawings/_rels/vmlDrawing4.vml.rels><?xml version="1.0" encoding="UTF-8" standalone="yes"?>
<Relationships xmlns="http://schemas.openxmlformats.org/package/2006/relationships"><Relationship Id="rId1" Type="http://schemas.openxmlformats.org/officeDocument/2006/relationships/image" Target="../media/image6.emf"/></Relationships>
</file>

<file path=xl/drawings/_rels/vmlDrawing5.vml.rels><?xml version="1.0" encoding="UTF-8" standalone="yes"?>
<Relationships xmlns="http://schemas.openxmlformats.org/package/2006/relationships"><Relationship Id="rId1" Type="http://schemas.openxmlformats.org/officeDocument/2006/relationships/image" Target="../media/image7.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9525</xdr:colOff>
          <xdr:row>1</xdr:row>
          <xdr:rowOff>161925</xdr:rowOff>
        </xdr:from>
        <xdr:to>
          <xdr:col>6</xdr:col>
          <xdr:colOff>76200</xdr:colOff>
          <xdr:row>3</xdr:row>
          <xdr:rowOff>200025</xdr:rowOff>
        </xdr:to>
        <xdr:sp macro="" textlink="">
          <xdr:nvSpPr>
            <xdr:cNvPr id="15362" name="btnCreateDiagram" hidden="1">
              <a:extLst>
                <a:ext uri="{63B3BB69-23CF-44E3-9099-C40C66FF867C}">
                  <a14:compatExt spid="_x0000_s15362"/>
                </a:ext>
                <a:ext uri="{FF2B5EF4-FFF2-40B4-BE49-F238E27FC236}">
                  <a16:creationId xmlns:a16="http://schemas.microsoft.com/office/drawing/2014/main" id="{00000000-0008-0000-0000-000002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5</xdr:row>
          <xdr:rowOff>9525</xdr:rowOff>
        </xdr:from>
        <xdr:to>
          <xdr:col>6</xdr:col>
          <xdr:colOff>95250</xdr:colOff>
          <xdr:row>7</xdr:row>
          <xdr:rowOff>47625</xdr:rowOff>
        </xdr:to>
        <xdr:sp macro="" textlink="">
          <xdr:nvSpPr>
            <xdr:cNvPr id="15364" name="btnCreatePlanning" hidden="1">
              <a:extLst>
                <a:ext uri="{63B3BB69-23CF-44E3-9099-C40C66FF867C}">
                  <a14:compatExt spid="_x0000_s15364"/>
                </a:ext>
                <a:ext uri="{FF2B5EF4-FFF2-40B4-BE49-F238E27FC236}">
                  <a16:creationId xmlns:a16="http://schemas.microsoft.com/office/drawing/2014/main" id="{00000000-0008-0000-0000-000004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4</xdr:col>
          <xdr:colOff>9525</xdr:colOff>
          <xdr:row>8</xdr:row>
          <xdr:rowOff>190500</xdr:rowOff>
        </xdr:from>
        <xdr:to>
          <xdr:col>6</xdr:col>
          <xdr:colOff>114300</xdr:colOff>
          <xdr:row>10</xdr:row>
          <xdr:rowOff>152400</xdr:rowOff>
        </xdr:to>
        <xdr:sp macro="" textlink="">
          <xdr:nvSpPr>
            <xdr:cNvPr id="15365" name="btnCreateWorkSheet" hidden="1">
              <a:extLst>
                <a:ext uri="{63B3BB69-23CF-44E3-9099-C40C66FF867C}">
                  <a14:compatExt spid="_x0000_s15365"/>
                </a:ext>
                <a:ext uri="{FF2B5EF4-FFF2-40B4-BE49-F238E27FC236}">
                  <a16:creationId xmlns:a16="http://schemas.microsoft.com/office/drawing/2014/main" id="{00000000-0008-0000-0000-0000053C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18438" name="btnImportPlanification" hidden="1">
              <a:extLst>
                <a:ext uri="{63B3BB69-23CF-44E3-9099-C40C66FF867C}">
                  <a14:compatExt spid="_x0000_s18438"/>
                </a:ext>
                <a:ext uri="{FF2B5EF4-FFF2-40B4-BE49-F238E27FC236}">
                  <a16:creationId xmlns:a16="http://schemas.microsoft.com/office/drawing/2014/main" id="{00000000-0008-0000-0300-0000064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38913" name="btnImportRealisation" hidden="1">
              <a:extLst>
                <a:ext uri="{63B3BB69-23CF-44E3-9099-C40C66FF867C}">
                  <a14:compatExt spid="_x0000_s38913"/>
                </a:ext>
                <a:ext uri="{FF2B5EF4-FFF2-40B4-BE49-F238E27FC236}">
                  <a16:creationId xmlns:a16="http://schemas.microsoft.com/office/drawing/2014/main" id="{00000000-0008-0000-0400-0000019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4</xdr:col>
          <xdr:colOff>590550</xdr:colOff>
          <xdr:row>0</xdr:row>
          <xdr:rowOff>180975</xdr:rowOff>
        </xdr:from>
        <xdr:to>
          <xdr:col>7</xdr:col>
          <xdr:colOff>257175</xdr:colOff>
          <xdr:row>2</xdr:row>
          <xdr:rowOff>152400</xdr:rowOff>
        </xdr:to>
        <xdr:sp macro="" textlink="">
          <xdr:nvSpPr>
            <xdr:cNvPr id="43009" name="btnImportRealisation" hidden="1">
              <a:extLst>
                <a:ext uri="{63B3BB69-23CF-44E3-9099-C40C66FF867C}">
                  <a14:compatExt spid="_x0000_s43009"/>
                </a:ext>
                <a:ext uri="{FF2B5EF4-FFF2-40B4-BE49-F238E27FC236}">
                  <a16:creationId xmlns:a16="http://schemas.microsoft.com/office/drawing/2014/main" id="{00000000-0008-0000-0500-000001A800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wsDr>
</file>

<file path=xl/theme/theme1.xml><?xml version="1.0" encoding="utf-8"?>
<a:theme xmlns:a="http://schemas.openxmlformats.org/drawingml/2006/main" name="ThèmeGGZExcel">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GGZ">
      <a:majorFont>
        <a:latin typeface="Century Gothic"/>
        <a:ea typeface=""/>
        <a:cs typeface=""/>
      </a:majorFont>
      <a:minorFont>
        <a:latin typeface="Century Gothic"/>
        <a:ea typeface=""/>
        <a:cs typeface=""/>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image" Target="../media/image2.emf"/><Relationship Id="rId3" Type="http://schemas.openxmlformats.org/officeDocument/2006/relationships/vmlDrawing" Target="../drawings/vmlDrawing1.vml"/><Relationship Id="rId7" Type="http://schemas.openxmlformats.org/officeDocument/2006/relationships/control" Target="../activeX/activeX2.xml"/><Relationship Id="rId2" Type="http://schemas.openxmlformats.org/officeDocument/2006/relationships/drawing" Target="../drawings/drawing1.xml"/><Relationship Id="rId1" Type="http://schemas.openxmlformats.org/officeDocument/2006/relationships/printerSettings" Target="../printerSettings/printerSettings1.bin"/><Relationship Id="rId6" Type="http://schemas.openxmlformats.org/officeDocument/2006/relationships/image" Target="../media/image1.emf"/><Relationship Id="rId5" Type="http://schemas.openxmlformats.org/officeDocument/2006/relationships/control" Target="../activeX/activeX1.xml"/><Relationship Id="rId10" Type="http://schemas.openxmlformats.org/officeDocument/2006/relationships/image" Target="../media/image3.emf"/><Relationship Id="rId4" Type="http://schemas.openxmlformats.org/officeDocument/2006/relationships/vmlDrawing" Target="../drawings/vmlDrawing2.vml"/><Relationship Id="rId9" Type="http://schemas.openxmlformats.org/officeDocument/2006/relationships/control" Target="../activeX/activeX3.xml"/></Relationships>
</file>

<file path=xl/worksheets/_rels/sheet4.xml.rels><?xml version="1.0" encoding="UTF-8" standalone="yes"?>
<Relationships xmlns="http://schemas.openxmlformats.org/package/2006/relationships"><Relationship Id="rId3" Type="http://schemas.openxmlformats.org/officeDocument/2006/relationships/vmlDrawing" Target="../drawings/vmlDrawing3.vml"/><Relationship Id="rId2" Type="http://schemas.openxmlformats.org/officeDocument/2006/relationships/drawing" Target="../drawings/drawing2.xml"/><Relationship Id="rId1" Type="http://schemas.openxmlformats.org/officeDocument/2006/relationships/printerSettings" Target="../printerSettings/printerSettings2.bin"/><Relationship Id="rId5" Type="http://schemas.openxmlformats.org/officeDocument/2006/relationships/image" Target="../media/image5.emf"/><Relationship Id="rId4" Type="http://schemas.openxmlformats.org/officeDocument/2006/relationships/control" Target="../activeX/activeX4.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3.xml"/><Relationship Id="rId1" Type="http://schemas.openxmlformats.org/officeDocument/2006/relationships/printerSettings" Target="../printerSettings/printerSettings3.bin"/><Relationship Id="rId5" Type="http://schemas.openxmlformats.org/officeDocument/2006/relationships/image" Target="../media/image6.emf"/><Relationship Id="rId4" Type="http://schemas.openxmlformats.org/officeDocument/2006/relationships/control" Target="../activeX/activeX5.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4.xml"/><Relationship Id="rId1" Type="http://schemas.openxmlformats.org/officeDocument/2006/relationships/printerSettings" Target="../printerSettings/printerSettings4.bin"/><Relationship Id="rId5" Type="http://schemas.openxmlformats.org/officeDocument/2006/relationships/image" Target="../media/image7.emf"/><Relationship Id="rId4" Type="http://schemas.openxmlformats.org/officeDocument/2006/relationships/control" Target="../activeX/activeX6.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Feuil1"/>
  <dimension ref="A1:G54"/>
  <sheetViews>
    <sheetView view="pageBreakPreview" topLeftCell="A16" zoomScaleNormal="100" zoomScaleSheetLayoutView="100" workbookViewId="0">
      <selection activeCell="C31" sqref="C31"/>
    </sheetView>
  </sheetViews>
  <sheetFormatPr baseColWidth="10" defaultColWidth="11.5703125" defaultRowHeight="13.5" x14ac:dyDescent="0.25"/>
  <cols>
    <col min="1" max="1" width="16.5703125" style="57" customWidth="1"/>
    <col min="2" max="2" width="55.140625" style="57" customWidth="1"/>
    <col min="3" max="3" width="88.5703125" style="57" customWidth="1"/>
    <col min="4" max="4" width="3.42578125" style="57" customWidth="1"/>
    <col min="5" max="6" width="11.5703125" style="57"/>
    <col min="7" max="7" width="3.28515625" style="57" customWidth="1"/>
    <col min="8" max="16384" width="11.5703125" style="57"/>
  </cols>
  <sheetData>
    <row r="1" spans="1:7" x14ac:dyDescent="0.25">
      <c r="A1" s="54"/>
      <c r="B1" s="55"/>
      <c r="C1" s="55"/>
      <c r="D1" s="55"/>
      <c r="E1" s="55"/>
      <c r="F1" s="55"/>
      <c r="G1" s="56"/>
    </row>
    <row r="2" spans="1:7" ht="14.25" thickBot="1" x14ac:dyDescent="0.3">
      <c r="A2" s="58"/>
      <c r="B2" s="59"/>
      <c r="C2" s="59"/>
      <c r="D2" s="59"/>
      <c r="E2" s="59"/>
      <c r="F2" s="59"/>
      <c r="G2" s="60"/>
    </row>
    <row r="3" spans="1:7" ht="20.25" x14ac:dyDescent="0.25">
      <c r="A3" s="58"/>
      <c r="B3" s="61" t="s">
        <v>0</v>
      </c>
      <c r="C3" s="62" t="s">
        <v>24</v>
      </c>
      <c r="D3" s="59"/>
      <c r="E3" s="59"/>
      <c r="F3" s="59"/>
      <c r="G3" s="60"/>
    </row>
    <row r="4" spans="1:7" ht="20.25" x14ac:dyDescent="0.25">
      <c r="A4" s="58"/>
      <c r="B4" s="63" t="s">
        <v>4</v>
      </c>
      <c r="C4" s="64" t="s">
        <v>25</v>
      </c>
      <c r="D4" s="59"/>
      <c r="E4" s="59"/>
      <c r="F4" s="59"/>
      <c r="G4" s="60"/>
    </row>
    <row r="5" spans="1:7" ht="20.25" x14ac:dyDescent="0.25">
      <c r="A5" s="58"/>
      <c r="B5" s="63" t="s">
        <v>1</v>
      </c>
      <c r="C5" s="64" t="s">
        <v>26</v>
      </c>
      <c r="D5" s="59"/>
      <c r="E5" s="59"/>
      <c r="F5" s="59"/>
      <c r="G5" s="60"/>
    </row>
    <row r="6" spans="1:7" ht="21" thickBot="1" x14ac:dyDescent="0.3">
      <c r="A6" s="58"/>
      <c r="B6" s="65" t="s">
        <v>2</v>
      </c>
      <c r="C6" s="66" t="s">
        <v>27</v>
      </c>
      <c r="D6" s="59"/>
      <c r="E6" s="59"/>
      <c r="F6" s="59"/>
      <c r="G6" s="60"/>
    </row>
    <row r="7" spans="1:7" x14ac:dyDescent="0.25">
      <c r="A7" s="58"/>
      <c r="B7" s="59"/>
      <c r="C7" s="59"/>
      <c r="D7" s="59"/>
      <c r="E7" s="59"/>
      <c r="F7" s="59"/>
      <c r="G7" s="60"/>
    </row>
    <row r="8" spans="1:7" ht="14.25" thickBot="1" x14ac:dyDescent="0.3">
      <c r="A8" s="58"/>
      <c r="B8" s="59"/>
      <c r="C8" s="59"/>
      <c r="D8" s="59"/>
      <c r="E8" s="59"/>
      <c r="F8" s="59"/>
      <c r="G8" s="60"/>
    </row>
    <row r="9" spans="1:7" ht="20.25" x14ac:dyDescent="0.25">
      <c r="A9" s="58"/>
      <c r="B9" s="61" t="s">
        <v>9</v>
      </c>
      <c r="C9" s="67">
        <v>45964</v>
      </c>
      <c r="D9" s="59"/>
      <c r="E9" s="59"/>
      <c r="F9" s="59"/>
      <c r="G9" s="60"/>
    </row>
    <row r="10" spans="1:7" ht="20.25" x14ac:dyDescent="0.25">
      <c r="A10" s="58"/>
      <c r="B10" s="68" t="s">
        <v>8</v>
      </c>
      <c r="C10" s="69">
        <v>45662</v>
      </c>
      <c r="D10" s="59"/>
      <c r="E10" s="59"/>
      <c r="F10" s="59"/>
      <c r="G10" s="60"/>
    </row>
    <row r="11" spans="1:7" ht="20.25" x14ac:dyDescent="0.25">
      <c r="A11" s="58"/>
      <c r="B11" s="68" t="s">
        <v>10</v>
      </c>
      <c r="C11" s="70">
        <v>8</v>
      </c>
      <c r="D11" s="59"/>
      <c r="E11" s="59"/>
      <c r="F11" s="59"/>
      <c r="G11" s="60"/>
    </row>
    <row r="12" spans="1:7" ht="20.25" x14ac:dyDescent="0.25">
      <c r="A12" s="58"/>
      <c r="B12" s="63" t="s">
        <v>11</v>
      </c>
      <c r="C12" s="71">
        <v>3</v>
      </c>
      <c r="D12" s="59"/>
      <c r="E12" s="59"/>
      <c r="F12" s="59"/>
      <c r="G12" s="60"/>
    </row>
    <row r="13" spans="1:7" ht="20.25" x14ac:dyDescent="0.25">
      <c r="A13" s="58"/>
      <c r="B13" s="63" t="s">
        <v>12</v>
      </c>
      <c r="C13" s="71">
        <v>3</v>
      </c>
      <c r="D13" s="59"/>
      <c r="E13" s="59"/>
      <c r="F13" s="59"/>
      <c r="G13" s="60"/>
    </row>
    <row r="14" spans="1:7" ht="20.25" thickBot="1" x14ac:dyDescent="0.3">
      <c r="A14" s="58"/>
      <c r="B14" s="72"/>
      <c r="C14" s="73" t="s">
        <v>6</v>
      </c>
      <c r="D14" s="59"/>
      <c r="E14" s="59"/>
      <c r="F14" s="59"/>
      <c r="G14" s="60"/>
    </row>
    <row r="15" spans="1:7" x14ac:dyDescent="0.25">
      <c r="A15" s="58"/>
      <c r="B15" s="59"/>
      <c r="C15" s="59"/>
      <c r="D15" s="59"/>
      <c r="E15" s="59"/>
      <c r="F15" s="59"/>
      <c r="G15" s="60"/>
    </row>
    <row r="16" spans="1:7" ht="14.25" thickBot="1" x14ac:dyDescent="0.3">
      <c r="A16" s="74"/>
      <c r="B16" s="75"/>
      <c r="C16" s="75"/>
      <c r="D16" s="75"/>
      <c r="E16" s="75"/>
      <c r="F16" s="75"/>
      <c r="G16" s="76"/>
    </row>
    <row r="17" spans="1:7" x14ac:dyDescent="0.25">
      <c r="A17" s="77"/>
      <c r="B17" s="55"/>
      <c r="C17" s="55"/>
      <c r="D17" s="55"/>
      <c r="E17" s="55"/>
      <c r="F17" s="55"/>
      <c r="G17" s="56"/>
    </row>
    <row r="18" spans="1:7" ht="14.25" thickBot="1" x14ac:dyDescent="0.3">
      <c r="A18" s="78"/>
      <c r="B18" s="59"/>
      <c r="C18" s="59"/>
      <c r="D18" s="59"/>
      <c r="E18" s="59"/>
      <c r="F18" s="59"/>
      <c r="G18" s="60"/>
    </row>
    <row r="19" spans="1:7" ht="21" thickBot="1" x14ac:dyDescent="0.3">
      <c r="A19" s="78"/>
      <c r="B19" s="146" t="s">
        <v>19</v>
      </c>
      <c r="C19" s="147"/>
      <c r="D19" s="59"/>
      <c r="E19" s="59"/>
      <c r="F19" s="59"/>
      <c r="G19" s="60"/>
    </row>
    <row r="20" spans="1:7" ht="20.25" x14ac:dyDescent="0.25">
      <c r="A20" s="78"/>
      <c r="B20" s="79" t="s">
        <v>20</v>
      </c>
      <c r="C20" s="80" t="s">
        <v>21</v>
      </c>
      <c r="D20" s="59"/>
      <c r="E20" s="59"/>
      <c r="F20" s="59"/>
      <c r="G20" s="60"/>
    </row>
    <row r="21" spans="1:7" ht="20.25" x14ac:dyDescent="0.25">
      <c r="A21" s="78"/>
      <c r="B21" s="79">
        <v>1</v>
      </c>
      <c r="C21" s="69" t="s">
        <v>31</v>
      </c>
      <c r="D21" s="59"/>
      <c r="E21" s="59"/>
      <c r="F21" s="59"/>
      <c r="G21" s="60"/>
    </row>
    <row r="22" spans="1:7" ht="20.25" x14ac:dyDescent="0.25">
      <c r="A22" s="78"/>
      <c r="B22" s="79">
        <v>2</v>
      </c>
      <c r="C22" s="70" t="s">
        <v>32</v>
      </c>
      <c r="D22" s="59"/>
      <c r="E22" s="59"/>
      <c r="F22" s="59"/>
      <c r="G22" s="60"/>
    </row>
    <row r="23" spans="1:7" ht="20.25" x14ac:dyDescent="0.25">
      <c r="A23" s="78"/>
      <c r="B23" s="81">
        <v>3</v>
      </c>
      <c r="C23" s="70" t="s">
        <v>33</v>
      </c>
      <c r="D23" s="59"/>
      <c r="E23" s="59"/>
      <c r="F23" s="59"/>
      <c r="G23" s="60"/>
    </row>
    <row r="24" spans="1:7" ht="20.25" x14ac:dyDescent="0.25">
      <c r="A24" s="78"/>
      <c r="B24" s="79">
        <v>4</v>
      </c>
      <c r="C24" s="70" t="s">
        <v>34</v>
      </c>
      <c r="D24" s="59"/>
      <c r="E24" s="59"/>
      <c r="F24" s="59"/>
      <c r="G24" s="60"/>
    </row>
    <row r="25" spans="1:7" ht="20.25" x14ac:dyDescent="0.25">
      <c r="A25" s="78"/>
      <c r="B25" s="79">
        <v>5</v>
      </c>
      <c r="C25" s="70" t="s">
        <v>37</v>
      </c>
      <c r="D25" s="59"/>
      <c r="E25" s="59"/>
      <c r="F25" s="59"/>
      <c r="G25" s="60"/>
    </row>
    <row r="26" spans="1:7" ht="20.25" x14ac:dyDescent="0.25">
      <c r="A26" s="78"/>
      <c r="B26" s="81">
        <v>6</v>
      </c>
      <c r="C26" s="70" t="s">
        <v>40</v>
      </c>
      <c r="D26" s="59"/>
      <c r="E26" s="59"/>
      <c r="F26" s="59"/>
      <c r="G26" s="60"/>
    </row>
    <row r="27" spans="1:7" ht="20.25" x14ac:dyDescent="0.25">
      <c r="A27" s="78"/>
      <c r="B27" s="79">
        <v>7</v>
      </c>
      <c r="C27" s="70" t="s">
        <v>41</v>
      </c>
      <c r="D27" s="59"/>
      <c r="E27" s="59"/>
      <c r="F27" s="59"/>
      <c r="G27" s="60"/>
    </row>
    <row r="28" spans="1:7" ht="20.25" x14ac:dyDescent="0.25">
      <c r="A28" s="78"/>
      <c r="B28" s="79">
        <v>8</v>
      </c>
      <c r="C28" s="71" t="s">
        <v>42</v>
      </c>
      <c r="D28" s="59"/>
      <c r="E28" s="59"/>
      <c r="F28" s="59"/>
      <c r="G28" s="60"/>
    </row>
    <row r="29" spans="1:7" ht="20.25" x14ac:dyDescent="0.25">
      <c r="A29" s="78"/>
      <c r="B29" s="81">
        <v>9</v>
      </c>
      <c r="C29" s="71" t="s">
        <v>44</v>
      </c>
      <c r="D29" s="59"/>
      <c r="E29" s="59"/>
      <c r="F29" s="59"/>
      <c r="G29" s="60"/>
    </row>
    <row r="30" spans="1:7" ht="20.25" x14ac:dyDescent="0.25">
      <c r="A30" s="78"/>
      <c r="B30" s="79">
        <v>10</v>
      </c>
      <c r="C30" s="70" t="s">
        <v>46</v>
      </c>
      <c r="D30" s="59"/>
      <c r="E30" s="59"/>
      <c r="F30" s="59"/>
      <c r="G30" s="60"/>
    </row>
    <row r="31" spans="1:7" ht="20.25" x14ac:dyDescent="0.25">
      <c r="A31" s="78"/>
      <c r="B31" s="79">
        <v>11</v>
      </c>
      <c r="C31" s="70" t="s">
        <v>47</v>
      </c>
      <c r="D31" s="59"/>
      <c r="E31" s="59"/>
      <c r="F31" s="59"/>
      <c r="G31" s="60"/>
    </row>
    <row r="32" spans="1:7" ht="20.25" x14ac:dyDescent="0.25">
      <c r="A32" s="78"/>
      <c r="B32" s="81">
        <v>12</v>
      </c>
      <c r="C32" s="70" t="s">
        <v>52</v>
      </c>
      <c r="D32" s="59"/>
      <c r="E32" s="59"/>
      <c r="F32" s="59"/>
      <c r="G32" s="60"/>
    </row>
    <row r="33" spans="1:7" ht="20.25" x14ac:dyDescent="0.25">
      <c r="A33" s="78"/>
      <c r="B33" s="79">
        <v>13</v>
      </c>
      <c r="C33" s="70" t="s">
        <v>53</v>
      </c>
      <c r="D33" s="59"/>
      <c r="E33" s="59"/>
      <c r="F33" s="59"/>
      <c r="G33" s="60"/>
    </row>
    <row r="34" spans="1:7" ht="20.25" x14ac:dyDescent="0.25">
      <c r="A34" s="78"/>
      <c r="B34" s="79">
        <v>14</v>
      </c>
      <c r="C34" s="71" t="s">
        <v>54</v>
      </c>
      <c r="D34" s="59"/>
      <c r="E34" s="59"/>
      <c r="F34" s="59"/>
      <c r="G34" s="60"/>
    </row>
    <row r="35" spans="1:7" ht="20.25" x14ac:dyDescent="0.25">
      <c r="A35" s="78"/>
      <c r="B35" s="81">
        <v>15</v>
      </c>
      <c r="C35" s="70" t="s">
        <v>72</v>
      </c>
      <c r="D35" s="59"/>
      <c r="E35" s="59"/>
      <c r="F35" s="59"/>
      <c r="G35" s="60"/>
    </row>
    <row r="36" spans="1:7" ht="20.25" x14ac:dyDescent="0.25">
      <c r="A36" s="78"/>
      <c r="B36" s="79">
        <v>16</v>
      </c>
      <c r="C36" s="70" t="s">
        <v>68</v>
      </c>
      <c r="D36" s="59"/>
      <c r="E36" s="59"/>
      <c r="F36" s="59"/>
      <c r="G36" s="60"/>
    </row>
    <row r="37" spans="1:7" ht="20.25" x14ac:dyDescent="0.25">
      <c r="A37" s="78"/>
      <c r="B37" s="79">
        <v>17</v>
      </c>
      <c r="C37" s="70"/>
      <c r="D37" s="59"/>
      <c r="E37" s="59"/>
      <c r="F37" s="59"/>
      <c r="G37" s="60"/>
    </row>
    <row r="38" spans="1:7" ht="20.25" x14ac:dyDescent="0.25">
      <c r="A38" s="78"/>
      <c r="B38" s="81">
        <v>18</v>
      </c>
      <c r="C38" s="70"/>
      <c r="D38" s="59"/>
      <c r="E38" s="59"/>
      <c r="F38" s="59"/>
      <c r="G38" s="60"/>
    </row>
    <row r="39" spans="1:7" ht="20.25" x14ac:dyDescent="0.25">
      <c r="A39" s="78"/>
      <c r="B39" s="79">
        <v>19</v>
      </c>
      <c r="C39" s="70"/>
      <c r="D39" s="59"/>
      <c r="E39" s="59"/>
      <c r="F39" s="59"/>
      <c r="G39" s="60"/>
    </row>
    <row r="40" spans="1:7" ht="20.25" x14ac:dyDescent="0.25">
      <c r="A40" s="78"/>
      <c r="B40" s="79">
        <v>20</v>
      </c>
      <c r="C40" s="71"/>
      <c r="D40" s="59"/>
      <c r="E40" s="59"/>
      <c r="F40" s="59"/>
      <c r="G40" s="60"/>
    </row>
    <row r="41" spans="1:7" ht="20.25" x14ac:dyDescent="0.25">
      <c r="A41" s="78"/>
      <c r="B41" s="81">
        <v>21</v>
      </c>
      <c r="C41" s="71"/>
      <c r="D41" s="59"/>
      <c r="E41" s="59"/>
      <c r="F41" s="59"/>
      <c r="G41" s="60"/>
    </row>
    <row r="42" spans="1:7" ht="20.25" x14ac:dyDescent="0.25">
      <c r="A42" s="78"/>
      <c r="B42" s="79">
        <v>22</v>
      </c>
      <c r="C42" s="70"/>
      <c r="D42" s="59"/>
      <c r="E42" s="59"/>
      <c r="F42" s="59"/>
      <c r="G42" s="60"/>
    </row>
    <row r="43" spans="1:7" ht="20.25" x14ac:dyDescent="0.25">
      <c r="A43" s="78"/>
      <c r="B43" s="79">
        <v>23</v>
      </c>
      <c r="C43" s="70"/>
      <c r="D43" s="59"/>
      <c r="E43" s="59"/>
      <c r="F43" s="59"/>
      <c r="G43" s="60"/>
    </row>
    <row r="44" spans="1:7" ht="20.25" x14ac:dyDescent="0.25">
      <c r="A44" s="78"/>
      <c r="B44" s="81">
        <v>24</v>
      </c>
      <c r="C44" s="70"/>
      <c r="D44" s="59"/>
      <c r="E44" s="59"/>
      <c r="F44" s="59"/>
      <c r="G44" s="60"/>
    </row>
    <row r="45" spans="1:7" ht="21" thickBot="1" x14ac:dyDescent="0.3">
      <c r="A45" s="78"/>
      <c r="B45" s="82">
        <v>25</v>
      </c>
      <c r="C45" s="83"/>
      <c r="D45" s="59"/>
      <c r="E45" s="59"/>
      <c r="F45" s="59"/>
      <c r="G45" s="60"/>
    </row>
    <row r="46" spans="1:7" x14ac:dyDescent="0.25">
      <c r="A46" s="78"/>
      <c r="B46" s="55"/>
      <c r="C46" s="59"/>
      <c r="D46" s="59"/>
      <c r="E46" s="59"/>
      <c r="F46" s="59"/>
      <c r="G46" s="60"/>
    </row>
    <row r="47" spans="1:7" x14ac:dyDescent="0.25">
      <c r="A47" s="78"/>
      <c r="B47" s="59"/>
      <c r="C47" s="59"/>
      <c r="D47" s="59"/>
      <c r="E47" s="59"/>
      <c r="F47" s="59"/>
      <c r="G47" s="60"/>
    </row>
    <row r="48" spans="1:7" x14ac:dyDescent="0.25">
      <c r="A48" s="78"/>
      <c r="B48" s="59"/>
      <c r="C48" s="59"/>
      <c r="D48" s="59"/>
      <c r="E48" s="59"/>
      <c r="F48" s="59"/>
      <c r="G48" s="60"/>
    </row>
    <row r="49" spans="1:7" x14ac:dyDescent="0.25">
      <c r="A49" s="78"/>
      <c r="B49" s="59"/>
      <c r="C49" s="59"/>
      <c r="D49" s="59"/>
      <c r="E49" s="59"/>
      <c r="F49" s="59"/>
      <c r="G49" s="60"/>
    </row>
    <row r="50" spans="1:7" x14ac:dyDescent="0.25">
      <c r="A50" s="78"/>
      <c r="B50" s="59"/>
      <c r="C50" s="59"/>
      <c r="D50" s="59"/>
      <c r="E50" s="59"/>
      <c r="F50" s="59"/>
      <c r="G50" s="60"/>
    </row>
    <row r="51" spans="1:7" x14ac:dyDescent="0.25">
      <c r="A51" s="78"/>
      <c r="B51" s="59"/>
      <c r="C51" s="59"/>
      <c r="D51" s="59"/>
      <c r="E51" s="59"/>
      <c r="F51" s="59"/>
      <c r="G51" s="60"/>
    </row>
    <row r="52" spans="1:7" x14ac:dyDescent="0.25">
      <c r="A52" s="78"/>
      <c r="B52" s="59"/>
      <c r="C52" s="59"/>
      <c r="D52" s="59"/>
      <c r="E52" s="59"/>
      <c r="F52" s="59"/>
      <c r="G52" s="60"/>
    </row>
    <row r="53" spans="1:7" x14ac:dyDescent="0.25">
      <c r="A53" s="78"/>
      <c r="B53" s="59"/>
      <c r="C53" s="59"/>
      <c r="D53" s="59"/>
      <c r="E53" s="59"/>
      <c r="F53" s="59"/>
      <c r="G53" s="60"/>
    </row>
    <row r="54" spans="1:7" ht="14.25" thickBot="1" x14ac:dyDescent="0.3">
      <c r="A54" s="84"/>
      <c r="B54" s="75"/>
      <c r="C54" s="75"/>
      <c r="D54" s="75"/>
      <c r="E54" s="75"/>
      <c r="F54" s="75"/>
      <c r="G54" s="76"/>
    </row>
  </sheetData>
  <sheetProtection selectLockedCells="1"/>
  <mergeCells count="1">
    <mergeCell ref="B19:C19"/>
  </mergeCells>
  <printOptions horizontalCentered="1"/>
  <pageMargins left="0.70866141732283472" right="0.70866141732283472" top="0.74803149606299213" bottom="0.74803149606299213" header="0.31496062992125984" footer="0.31496062992125984"/>
  <pageSetup paperSize="9" scale="50" orientation="landscape" r:id="rId1"/>
  <headerFooter>
    <oddHeader>&amp;L&amp;"ETML L,Normal"ETML&amp;C&amp;"-,Normal"Planification&amp;R&amp;G</oddHeader>
    <oddFooter>&amp;L&amp;"-,Normal"&amp;D - GGZ&amp;C&amp;"-,Normal"&amp;F - &amp;A&amp;R&amp;"-,Normal"Page &amp;P/&amp;N</oddFooter>
  </headerFooter>
  <drawing r:id="rId2"/>
  <legacyDrawing r:id="rId3"/>
  <legacyDrawingHF r:id="rId4"/>
  <controls>
    <mc:AlternateContent xmlns:mc="http://schemas.openxmlformats.org/markup-compatibility/2006">
      <mc:Choice Requires="x14">
        <control shapeId="15365" r:id="rId5" name="btnCreateWorkSheet">
          <controlPr defaultSize="0" autoLine="0" r:id="rId6">
            <anchor moveWithCells="1">
              <from>
                <xdr:col>4</xdr:col>
                <xdr:colOff>9525</xdr:colOff>
                <xdr:row>8</xdr:row>
                <xdr:rowOff>190500</xdr:rowOff>
              </from>
              <to>
                <xdr:col>6</xdr:col>
                <xdr:colOff>114300</xdr:colOff>
                <xdr:row>10</xdr:row>
                <xdr:rowOff>152400</xdr:rowOff>
              </to>
            </anchor>
          </controlPr>
        </control>
      </mc:Choice>
      <mc:Fallback>
        <control shapeId="15365" r:id="rId5" name="btnCreateWorkSheet"/>
      </mc:Fallback>
    </mc:AlternateContent>
    <mc:AlternateContent xmlns:mc="http://schemas.openxmlformats.org/markup-compatibility/2006">
      <mc:Choice Requires="x14">
        <control shapeId="15362" r:id="rId7" name="btnCreateDiagram">
          <controlPr defaultSize="0" autoLine="0" r:id="rId8">
            <anchor moveWithCells="1">
              <from>
                <xdr:col>4</xdr:col>
                <xdr:colOff>9525</xdr:colOff>
                <xdr:row>1</xdr:row>
                <xdr:rowOff>161925</xdr:rowOff>
              </from>
              <to>
                <xdr:col>6</xdr:col>
                <xdr:colOff>76200</xdr:colOff>
                <xdr:row>3</xdr:row>
                <xdr:rowOff>200025</xdr:rowOff>
              </to>
            </anchor>
          </controlPr>
        </control>
      </mc:Choice>
      <mc:Fallback>
        <control shapeId="15362" r:id="rId7" name="btnCreateDiagram"/>
      </mc:Fallback>
    </mc:AlternateContent>
    <mc:AlternateContent xmlns:mc="http://schemas.openxmlformats.org/markup-compatibility/2006">
      <mc:Choice Requires="x14">
        <control shapeId="15364" r:id="rId9" name="btnCreatePlanning">
          <controlPr defaultSize="0" autoLine="0" r:id="rId10">
            <anchor moveWithCells="1">
              <from>
                <xdr:col>4</xdr:col>
                <xdr:colOff>9525</xdr:colOff>
                <xdr:row>5</xdr:row>
                <xdr:rowOff>9525</xdr:rowOff>
              </from>
              <to>
                <xdr:col>6</xdr:col>
                <xdr:colOff>95250</xdr:colOff>
                <xdr:row>7</xdr:row>
                <xdr:rowOff>47625</xdr:rowOff>
              </to>
            </anchor>
          </controlPr>
        </control>
      </mc:Choice>
      <mc:Fallback>
        <control shapeId="15364" r:id="rId9" name="btnCreatePlanning"/>
      </mc:Fallback>
    </mc:AlternateContent>
  </control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Feuil6"/>
  <dimension ref="A1:D16"/>
  <sheetViews>
    <sheetView workbookViewId="0">
      <selection activeCell="C30" sqref="C30"/>
    </sheetView>
  </sheetViews>
  <sheetFormatPr baseColWidth="10" defaultColWidth="1.5703125" defaultRowHeight="19.5" customHeight="1" x14ac:dyDescent="0.25"/>
  <cols>
    <col min="1" max="1" width="17.85546875" style="20" customWidth="1"/>
    <col min="2" max="2" width="51.28515625" style="20" customWidth="1"/>
    <col min="3" max="3" width="19.42578125" style="20" customWidth="1"/>
    <col min="4" max="16384" width="1.5703125" style="20"/>
  </cols>
  <sheetData>
    <row r="1" spans="1:4" ht="14.25" thickBot="1" x14ac:dyDescent="0.3">
      <c r="B1" s="21"/>
      <c r="C1" s="21"/>
    </row>
    <row r="2" spans="1:4" ht="42.75" customHeight="1" thickBot="1" x14ac:dyDescent="0.3">
      <c r="A2" s="19"/>
      <c r="B2" s="23" t="s">
        <v>5</v>
      </c>
      <c r="C2" s="15" t="s">
        <v>18</v>
      </c>
    </row>
    <row r="3" spans="1:4" ht="19.5" customHeight="1" x14ac:dyDescent="0.25">
      <c r="A3" s="19"/>
      <c r="B3" s="148" t="s">
        <v>21</v>
      </c>
      <c r="C3" s="16">
        <v>0</v>
      </c>
    </row>
    <row r="4" spans="1:4" ht="19.5" customHeight="1" x14ac:dyDescent="0.25">
      <c r="A4" s="19"/>
      <c r="B4" s="149"/>
      <c r="C4" s="22">
        <v>0</v>
      </c>
      <c r="D4" s="29"/>
    </row>
    <row r="16" spans="1:4" ht="19.5" customHeight="1" x14ac:dyDescent="0.25">
      <c r="A16" s="41"/>
    </row>
  </sheetData>
  <mergeCells count="1">
    <mergeCell ref="B3:B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Feuil2"/>
  <dimension ref="B3:E39"/>
  <sheetViews>
    <sheetView workbookViewId="0">
      <selection activeCell="J21" sqref="J21"/>
    </sheetView>
  </sheetViews>
  <sheetFormatPr baseColWidth="10" defaultRowHeight="13.5" x14ac:dyDescent="0.25"/>
  <cols>
    <col min="2" max="2" width="51.85546875" customWidth="1"/>
    <col min="3" max="3" width="35" customWidth="1"/>
  </cols>
  <sheetData>
    <row r="3" spans="2:3" ht="27.75" customHeight="1" x14ac:dyDescent="0.25">
      <c r="B3" s="25" t="s">
        <v>16</v>
      </c>
      <c r="C3" s="27">
        <v>0</v>
      </c>
    </row>
    <row r="4" spans="2:3" ht="18.75" thickBot="1" x14ac:dyDescent="0.3">
      <c r="B4" s="26" t="s">
        <v>17</v>
      </c>
      <c r="C4" s="28">
        <v>0</v>
      </c>
    </row>
    <row r="39" spans="5:5" x14ac:dyDescent="0.25">
      <c r="E39" s="24"/>
    </row>
  </sheetData>
  <dataValidations count="1">
    <dataValidation type="whole" allowBlank="1" showInputMessage="1" showErrorMessage="1" errorTitle="DureeTropLongue" error="Cette durée est invalide: ce n'est pas un chiffre entier positif ou elle dépasse la &quot;Durée totale&quot; définie plus haut ..." sqref="C3" xr:uid="{00000000-0002-0000-0200-000000000000}">
      <formula1>0</formula1>
      <formula2>$C$9</formula2>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Feuil4"/>
  <dimension ref="A1:H31"/>
  <sheetViews>
    <sheetView workbookViewId="0">
      <selection activeCell="D1" sqref="D1"/>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6" t="s">
        <v>14</v>
      </c>
      <c r="B1" s="7">
        <v>1</v>
      </c>
      <c r="C1" s="17"/>
      <c r="D1" s="85"/>
    </row>
    <row r="2" spans="1:4" ht="27.75" thickBot="1" x14ac:dyDescent="0.3">
      <c r="A2" s="8" t="s">
        <v>3</v>
      </c>
      <c r="B2" s="18" t="s">
        <v>15</v>
      </c>
      <c r="C2" s="8" t="s">
        <v>7</v>
      </c>
      <c r="D2" s="8"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2"/>
      <c r="B9" s="2"/>
      <c r="C9" s="10"/>
      <c r="D9" s="10"/>
    </row>
    <row r="10" spans="1:4" s="52" customFormat="1" x14ac:dyDescent="0.25">
      <c r="A10" s="2"/>
      <c r="B10" s="2"/>
      <c r="C10" s="10"/>
      <c r="D10" s="10"/>
    </row>
    <row r="11" spans="1:4" s="52" customFormat="1" x14ac:dyDescent="0.25">
      <c r="A11" s="2"/>
      <c r="B11" s="2"/>
      <c r="C11" s="10"/>
      <c r="D11" s="10"/>
    </row>
    <row r="12" spans="1:4" s="52" customFormat="1" ht="14.25" thickBot="1" x14ac:dyDescent="0.3">
      <c r="A12" s="3"/>
      <c r="B12" s="3"/>
      <c r="C12" s="11"/>
      <c r="D12" s="11"/>
    </row>
    <row r="13" spans="1:4" ht="14.25" thickBot="1" x14ac:dyDescent="0.3">
      <c r="A13" s="12" t="s">
        <v>22</v>
      </c>
      <c r="B13" s="12">
        <f>SUM(B3:B12)</f>
        <v>0</v>
      </c>
      <c r="C13" s="13"/>
      <c r="D13" s="13"/>
    </row>
    <row r="14" spans="1:4" ht="14.25" x14ac:dyDescent="0.3">
      <c r="A14" s="14"/>
      <c r="B14" s="14"/>
      <c r="C14" s="14"/>
      <c r="D14" s="14"/>
    </row>
    <row r="20" spans="1:8" ht="12.75" customHeight="1" x14ac:dyDescent="0.25">
      <c r="A20" s="30"/>
      <c r="B20" s="31"/>
      <c r="C20" s="32"/>
      <c r="D20" s="33"/>
      <c r="F20" s="31"/>
      <c r="G20" s="32"/>
      <c r="H20" s="33"/>
    </row>
    <row r="21" spans="1:8" ht="15" x14ac:dyDescent="0.25">
      <c r="A21" s="30"/>
      <c r="B21" s="34"/>
      <c r="C21" s="30"/>
      <c r="D21" s="30"/>
      <c r="F21" s="34"/>
      <c r="G21" s="30"/>
      <c r="H21" s="30"/>
    </row>
    <row r="22" spans="1:8" x14ac:dyDescent="0.25">
      <c r="A22" s="35"/>
      <c r="B22" s="36"/>
      <c r="C22" s="37"/>
      <c r="D22" s="37"/>
      <c r="F22" s="36"/>
      <c r="G22" s="37"/>
      <c r="H22" s="37"/>
    </row>
    <row r="23" spans="1:8" x14ac:dyDescent="0.25">
      <c r="A23" s="35"/>
      <c r="B23" s="36"/>
      <c r="C23" s="37"/>
      <c r="D23" s="37"/>
      <c r="F23" s="36"/>
      <c r="G23" s="37"/>
      <c r="H23" s="37"/>
    </row>
    <row r="24" spans="1:8" x14ac:dyDescent="0.25">
      <c r="A24" s="35"/>
      <c r="B24" s="36"/>
      <c r="C24" s="37"/>
      <c r="D24" s="37"/>
      <c r="F24" s="36"/>
      <c r="G24" s="37"/>
      <c r="H24" s="37"/>
    </row>
    <row r="25" spans="1:8" x14ac:dyDescent="0.25">
      <c r="A25" s="35"/>
      <c r="B25" s="36"/>
      <c r="C25" s="37"/>
      <c r="D25" s="37"/>
      <c r="F25" s="36"/>
      <c r="G25" s="37"/>
      <c r="H25" s="37"/>
    </row>
    <row r="26" spans="1:8" x14ac:dyDescent="0.25">
      <c r="A26" s="36"/>
      <c r="B26" s="36"/>
      <c r="C26" s="37"/>
      <c r="D26" s="37"/>
      <c r="F26" s="36"/>
      <c r="G26" s="37"/>
      <c r="H26" s="37"/>
    </row>
    <row r="27" spans="1:8" x14ac:dyDescent="0.25">
      <c r="A27" s="36"/>
      <c r="B27" s="36"/>
      <c r="C27" s="37"/>
      <c r="D27" s="37"/>
      <c r="F27" s="36"/>
      <c r="G27" s="37"/>
      <c r="H27" s="37"/>
    </row>
    <row r="28" spans="1:8" x14ac:dyDescent="0.25">
      <c r="A28" s="36"/>
      <c r="B28" s="36"/>
      <c r="C28" s="37"/>
      <c r="D28" s="37"/>
      <c r="F28" s="36"/>
      <c r="G28" s="37"/>
      <c r="H28" s="37"/>
    </row>
    <row r="29" spans="1:8" x14ac:dyDescent="0.25">
      <c r="A29" s="36"/>
      <c r="B29" s="36"/>
      <c r="C29" s="37"/>
      <c r="D29" s="37"/>
      <c r="F29" s="36"/>
      <c r="G29" s="37"/>
      <c r="H29" s="37"/>
    </row>
    <row r="30" spans="1:8" x14ac:dyDescent="0.25">
      <c r="A30" s="38"/>
      <c r="B30" s="38"/>
      <c r="C30" s="39"/>
      <c r="D30" s="39"/>
      <c r="F30" s="38"/>
      <c r="G30" s="39"/>
      <c r="H30" s="39"/>
    </row>
    <row r="31" spans="1:8" ht="14.25" x14ac:dyDescent="0.3">
      <c r="A31" s="40"/>
      <c r="B31" s="40"/>
      <c r="C31" s="40"/>
      <c r="D31" s="40"/>
      <c r="F31" s="40"/>
      <c r="G31" s="40"/>
      <c r="H31" s="40"/>
    </row>
  </sheetData>
  <dataValidations count="5">
    <dataValidation type="whole" errorStyle="warning" allowBlank="1" showInputMessage="1" showErrorMessage="1" errorTitle="Dépassement de durée" error="Le nombre de minutes introduites dépasse la durée d'une période. Veuillez confirmer ... Le calcul du total sera juste dans tous les cas._x000a_" sqref="F30 B30" xr:uid="{00000000-0002-0000-0300-000000000000}">
      <formula1>0</formula1>
      <formula2>DureePeriode-1</formula2>
    </dataValidation>
    <dataValidation type="whole" errorStyle="warning" operator="greaterThan" allowBlank="1" showInputMessage="1" showErrorMessage="1" errorTitle="Durée en 1/3 de période" error="Le nombre doit être de type entier" sqref="B3:B12 B22:B29 F22:F29" xr:uid="{00000000-0002-0000-0300-000001000000}">
      <formula1>0</formula1>
    </dataValidation>
    <dataValidation type="list" allowBlank="1" showInputMessage="1" showErrorMessage="1" sqref="A22:A29" xr:uid="{00000000-0002-0000-0300-000002000000}">
      <formula1>ListeTaches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3" xr:uid="{00000000-0002-0000-0300-000003000000}">
      <formula1>0</formula1>
      <formula2>NbPerWeek * NbQuartPer</formula2>
    </dataValidation>
    <dataValidation type="list" allowBlank="1" showInputMessage="1" showErrorMessage="1" sqref="A3:A12" xr:uid="{00000000-0002-0000-0300-000004000000}">
      <formula1>lstTasks</formula1>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18438" r:id="rId4" name="btnImportPlanific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18438" r:id="rId4" name="btnImportPlanification"/>
      </mc:Fallback>
    </mc:AlternateContent>
  </control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Feuil8"/>
  <dimension ref="A1:H36"/>
  <sheetViews>
    <sheetView workbookViewId="0">
      <selection activeCell="C28" sqref="C28"/>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4.140625" style="20" customWidth="1"/>
    <col min="5" max="16384" width="11.42578125" style="20"/>
  </cols>
  <sheetData>
    <row r="1" spans="1:4" ht="18.75" thickBot="1" x14ac:dyDescent="0.3">
      <c r="A1" s="42" t="s">
        <v>14</v>
      </c>
      <c r="B1" s="43">
        <v>1</v>
      </c>
      <c r="C1" s="44" t="s">
        <v>23</v>
      </c>
      <c r="D1" s="53"/>
    </row>
    <row r="2" spans="1:4" ht="27.75" thickBot="1" x14ac:dyDescent="0.3">
      <c r="A2" s="45" t="s">
        <v>3</v>
      </c>
      <c r="B2" s="46" t="s">
        <v>15</v>
      </c>
      <c r="C2" s="45" t="s">
        <v>7</v>
      </c>
      <c r="D2" s="45" t="s">
        <v>13</v>
      </c>
    </row>
    <row r="3" spans="1:4" s="52" customFormat="1" x14ac:dyDescent="0.25">
      <c r="A3" s="5"/>
      <c r="B3" s="4"/>
      <c r="C3" s="9"/>
      <c r="D3" s="9"/>
    </row>
    <row r="4" spans="1:4" s="52" customFormat="1" x14ac:dyDescent="0.25">
      <c r="A4" s="1"/>
      <c r="B4" s="2"/>
      <c r="C4" s="10"/>
      <c r="D4" s="10"/>
    </row>
    <row r="5" spans="1:4" s="52" customFormat="1" x14ac:dyDescent="0.25">
      <c r="A5" s="1"/>
      <c r="B5" s="2"/>
      <c r="C5" s="10"/>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1"/>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2"/>
      <c r="B14" s="2"/>
      <c r="C14" s="10"/>
      <c r="D14" s="10"/>
    </row>
    <row r="15" spans="1:4" s="52" customFormat="1" x14ac:dyDescent="0.25">
      <c r="A15" s="50"/>
      <c r="B15" s="50"/>
      <c r="C15" s="51"/>
      <c r="D15" s="51"/>
    </row>
    <row r="16" spans="1:4" s="52" customFormat="1" x14ac:dyDescent="0.25">
      <c r="A16" s="50"/>
      <c r="B16" s="50"/>
      <c r="C16" s="51"/>
      <c r="D16" s="51"/>
    </row>
    <row r="17" spans="1:8" s="52" customFormat="1" ht="14.25" thickBot="1" x14ac:dyDescent="0.3">
      <c r="A17" s="3"/>
      <c r="B17" s="3"/>
      <c r="C17" s="11"/>
      <c r="D17" s="11"/>
    </row>
    <row r="18" spans="1:8" ht="14.25" thickBot="1" x14ac:dyDescent="0.3">
      <c r="A18" s="47" t="s">
        <v>22</v>
      </c>
      <c r="B18" s="47">
        <f>SUM(B3:B17)</f>
        <v>0</v>
      </c>
      <c r="C18" s="48"/>
      <c r="D18" s="48"/>
    </row>
    <row r="19" spans="1:8" ht="14.25" x14ac:dyDescent="0.3">
      <c r="A19" s="49"/>
      <c r="B19" s="49"/>
      <c r="C19" s="49"/>
      <c r="D19" s="49"/>
    </row>
    <row r="25" spans="1:8" ht="12.75" customHeight="1" x14ac:dyDescent="0.25">
      <c r="A25" s="30"/>
      <c r="B25" s="31"/>
      <c r="C25" s="32"/>
      <c r="D25" s="33"/>
      <c r="F25" s="31"/>
      <c r="G25" s="32"/>
      <c r="H25" s="33"/>
    </row>
    <row r="26" spans="1:8" ht="15" x14ac:dyDescent="0.25">
      <c r="A26" s="30"/>
      <c r="B26" s="34"/>
      <c r="C26" s="30"/>
      <c r="D26" s="30"/>
      <c r="F26" s="34"/>
      <c r="G26" s="30"/>
      <c r="H26" s="30"/>
    </row>
    <row r="27" spans="1:8" x14ac:dyDescent="0.25">
      <c r="A27" s="35"/>
      <c r="B27" s="36"/>
      <c r="C27" s="37"/>
      <c r="D27" s="37"/>
      <c r="F27" s="36"/>
      <c r="G27" s="37"/>
      <c r="H27" s="37"/>
    </row>
    <row r="28" spans="1:8" x14ac:dyDescent="0.25">
      <c r="A28" s="35"/>
      <c r="B28" s="36"/>
      <c r="C28" s="37"/>
      <c r="D28" s="37"/>
      <c r="F28" s="36"/>
      <c r="G28" s="37"/>
      <c r="H28" s="37"/>
    </row>
    <row r="29" spans="1:8" x14ac:dyDescent="0.25">
      <c r="A29" s="35"/>
      <c r="B29" s="36"/>
      <c r="C29" s="37"/>
      <c r="D29" s="37"/>
      <c r="F29" s="36"/>
      <c r="G29" s="37"/>
      <c r="H29" s="37"/>
    </row>
    <row r="30" spans="1:8" x14ac:dyDescent="0.25">
      <c r="A30" s="35"/>
      <c r="B30" s="36"/>
      <c r="C30" s="37"/>
      <c r="D30" s="37"/>
      <c r="F30" s="36"/>
      <c r="G30" s="37"/>
      <c r="H30" s="37"/>
    </row>
    <row r="31" spans="1:8" x14ac:dyDescent="0.25">
      <c r="A31" s="36"/>
      <c r="B31" s="36"/>
      <c r="C31" s="37"/>
      <c r="D31" s="37"/>
      <c r="F31" s="36"/>
      <c r="G31" s="37"/>
      <c r="H31" s="37"/>
    </row>
    <row r="32" spans="1:8" x14ac:dyDescent="0.25">
      <c r="A32" s="36"/>
      <c r="B32" s="36"/>
      <c r="C32" s="37"/>
      <c r="D32" s="37"/>
      <c r="F32" s="36"/>
      <c r="G32" s="37"/>
      <c r="H32" s="37"/>
    </row>
    <row r="33" spans="1:8" x14ac:dyDescent="0.25">
      <c r="A33" s="36"/>
      <c r="B33" s="36"/>
      <c r="C33" s="37"/>
      <c r="D33" s="37"/>
      <c r="F33" s="36"/>
      <c r="G33" s="37"/>
      <c r="H33" s="37"/>
    </row>
    <row r="34" spans="1:8" x14ac:dyDescent="0.25">
      <c r="A34" s="36"/>
      <c r="B34" s="36"/>
      <c r="C34" s="37"/>
      <c r="D34" s="37"/>
      <c r="F34" s="36"/>
      <c r="G34" s="37"/>
      <c r="H34" s="37"/>
    </row>
    <row r="35" spans="1:8" x14ac:dyDescent="0.25">
      <c r="A35" s="38"/>
      <c r="B35" s="38"/>
      <c r="C35" s="39"/>
      <c r="D35" s="39"/>
      <c r="F35" s="38"/>
      <c r="G35" s="39"/>
      <c r="H35" s="39"/>
    </row>
    <row r="36" spans="1:8" ht="14.25" x14ac:dyDescent="0.3">
      <c r="A36" s="40"/>
      <c r="B36" s="40"/>
      <c r="C36" s="40"/>
      <c r="D36" s="40"/>
      <c r="F36" s="40"/>
      <c r="G36" s="40"/>
      <c r="H36" s="40"/>
    </row>
  </sheetData>
  <dataValidations count="5">
    <dataValidation type="list" allowBlank="1" showInputMessage="1" showErrorMessage="1" sqref="A3:A17" xr:uid="{00000000-0002-0000-0400-000000000000}">
      <formula1>lstTasks</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8" xr:uid="{00000000-0002-0000-0400-000001000000}">
      <formula1>0</formula1>
      <formula2>NbPerWeek * NbQuartPer</formula2>
    </dataValidation>
    <dataValidation type="list" allowBlank="1" showInputMessage="1" showErrorMessage="1" sqref="A27:A34" xr:uid="{00000000-0002-0000-0400-000002000000}">
      <formula1>ListeTaches</formula1>
    </dataValidation>
    <dataValidation type="whole" errorStyle="warning" operator="greaterThan" allowBlank="1" showInputMessage="1" showErrorMessage="1" errorTitle="Durée en 1/3 de période" error="Le nombre doit être de type entier" sqref="F27:F34 B27:B34 B3:B17" xr:uid="{00000000-0002-0000-0400-000003000000}">
      <formula1>0</formula1>
    </dataValidation>
    <dataValidation type="whole" errorStyle="warning" allowBlank="1" showInputMessage="1" showErrorMessage="1" errorTitle="Dépassement de durée" error="Le nombre de minutes introduites dépasse la durée d'une période. Veuillez confirmer ... Le calcul du total sera juste dans tous les cas._x000a_" sqref="F35 B35" xr:uid="{00000000-0002-0000-0400-000004000000}">
      <formula1>0</formula1>
      <formula2>DureePeriode-1</formula2>
    </dataValidation>
  </dataValidations>
  <pageMargins left="0.7" right="0.7" top="0.75" bottom="0.75" header="0.3" footer="0.3"/>
  <pageSetup paperSize="9" orientation="portrait" r:id="rId1"/>
  <drawing r:id="rId2"/>
  <legacyDrawing r:id="rId3"/>
  <controls>
    <mc:AlternateContent xmlns:mc="http://schemas.openxmlformats.org/markup-compatibility/2006">
      <mc:Choice Requires="x14">
        <control shapeId="38913"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38913" r:id="rId4" name="btnImportRealisation"/>
      </mc:Fallback>
    </mc:AlternateContent>
  </control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0FAF2F-C534-499F-8C25-95E6F074E70C}">
  <sheetPr codeName="Feuil9"/>
  <dimension ref="A1:H147"/>
  <sheetViews>
    <sheetView tabSelected="1" topLeftCell="A80" workbookViewId="0">
      <selection activeCell="C99" sqref="C99"/>
    </sheetView>
  </sheetViews>
  <sheetFormatPr baseColWidth="10" defaultColWidth="11.42578125" defaultRowHeight="13.5" x14ac:dyDescent="0.25"/>
  <cols>
    <col min="1" max="1" width="21.42578125" style="20" customWidth="1"/>
    <col min="2" max="2" width="8.5703125" style="20" customWidth="1"/>
    <col min="3" max="3" width="87" style="20" customWidth="1"/>
    <col min="4" max="4" width="48.28515625" style="20" customWidth="1"/>
    <col min="5" max="16384" width="11.42578125" style="20"/>
  </cols>
  <sheetData>
    <row r="1" spans="1:4" ht="18.75" thickBot="1" x14ac:dyDescent="0.3">
      <c r="A1" s="42" t="s">
        <v>14</v>
      </c>
      <c r="B1" s="43">
        <v>1</v>
      </c>
      <c r="C1" s="44" t="s">
        <v>23</v>
      </c>
      <c r="D1" s="53">
        <f>Donnees!$C$9</f>
        <v>45964</v>
      </c>
    </row>
    <row r="2" spans="1:4" ht="27.75" thickBot="1" x14ac:dyDescent="0.3">
      <c r="A2" s="115" t="s">
        <v>3</v>
      </c>
      <c r="B2" s="116" t="s">
        <v>15</v>
      </c>
      <c r="C2" s="115" t="s">
        <v>7</v>
      </c>
      <c r="D2" s="115" t="s">
        <v>13</v>
      </c>
    </row>
    <row r="3" spans="1:4" ht="15.75" thickBot="1" x14ac:dyDescent="0.3">
      <c r="A3" s="101"/>
      <c r="B3" s="102"/>
      <c r="C3" s="103" t="s">
        <v>64</v>
      </c>
      <c r="D3" s="103"/>
    </row>
    <row r="4" spans="1:4" s="52" customFormat="1" x14ac:dyDescent="0.25">
      <c r="A4" s="97" t="s">
        <v>21</v>
      </c>
      <c r="B4" s="98">
        <v>9</v>
      </c>
      <c r="C4" s="99" t="s">
        <v>60</v>
      </c>
      <c r="D4" s="100"/>
    </row>
    <row r="5" spans="1:4" s="52" customFormat="1" x14ac:dyDescent="0.25">
      <c r="A5" s="1"/>
      <c r="B5" s="2"/>
      <c r="C5" s="89"/>
      <c r="D5" s="10"/>
    </row>
    <row r="6" spans="1:4" s="52" customFormat="1" x14ac:dyDescent="0.25">
      <c r="A6" s="1"/>
      <c r="B6" s="2"/>
      <c r="C6" s="10"/>
      <c r="D6" s="10"/>
    </row>
    <row r="7" spans="1:4" s="52" customFormat="1" x14ac:dyDescent="0.25">
      <c r="A7" s="1"/>
      <c r="B7" s="2"/>
      <c r="C7" s="10"/>
      <c r="D7" s="10"/>
    </row>
    <row r="8" spans="1:4" s="52" customFormat="1" x14ac:dyDescent="0.25">
      <c r="A8" s="1"/>
      <c r="B8" s="2"/>
      <c r="C8" s="10"/>
      <c r="D8" s="10"/>
    </row>
    <row r="9" spans="1:4" s="52" customFormat="1" x14ac:dyDescent="0.25">
      <c r="A9" s="1"/>
      <c r="B9" s="2"/>
      <c r="C9" s="10"/>
      <c r="D9" s="10"/>
    </row>
    <row r="10" spans="1:4" s="52" customFormat="1" x14ac:dyDescent="0.25">
      <c r="A10" s="1"/>
      <c r="B10" s="2"/>
      <c r="C10" s="10"/>
      <c r="D10" s="10"/>
    </row>
    <row r="11" spans="1:4" s="52" customFormat="1" x14ac:dyDescent="0.25">
      <c r="A11" s="2"/>
      <c r="B11" s="2"/>
      <c r="C11" s="10"/>
      <c r="D11" s="10"/>
    </row>
    <row r="12" spans="1:4" s="52" customFormat="1" x14ac:dyDescent="0.25">
      <c r="A12" s="2"/>
      <c r="B12" s="2"/>
      <c r="C12" s="10"/>
      <c r="D12" s="10"/>
    </row>
    <row r="13" spans="1:4" s="52" customFormat="1" x14ac:dyDescent="0.25">
      <c r="A13" s="2"/>
      <c r="B13" s="2"/>
      <c r="C13" s="10"/>
      <c r="D13" s="10"/>
    </row>
    <row r="14" spans="1:4" s="52" customFormat="1" x14ac:dyDescent="0.25">
      <c r="A14" s="50"/>
      <c r="B14" s="50"/>
      <c r="C14" s="51"/>
      <c r="D14" s="51"/>
    </row>
    <row r="15" spans="1:4" s="52" customFormat="1" x14ac:dyDescent="0.25">
      <c r="A15" s="50"/>
      <c r="B15" s="50"/>
      <c r="C15" s="51"/>
      <c r="D15" s="51"/>
    </row>
    <row r="16" spans="1:4" s="52" customFormat="1" ht="14.25" thickBot="1" x14ac:dyDescent="0.3">
      <c r="A16" s="3"/>
      <c r="B16" s="3"/>
      <c r="C16" s="11"/>
      <c r="D16" s="11"/>
    </row>
    <row r="17" spans="1:8" ht="14.25" thickBot="1" x14ac:dyDescent="0.3">
      <c r="A17" s="47" t="s">
        <v>22</v>
      </c>
      <c r="B17" s="47">
        <f>SUM(B3:B16)</f>
        <v>9</v>
      </c>
      <c r="C17" s="87" t="s">
        <v>28</v>
      </c>
      <c r="D17" s="48"/>
    </row>
    <row r="18" spans="1:8" ht="15" thickBot="1" x14ac:dyDescent="0.35">
      <c r="A18" s="49"/>
      <c r="B18" s="49"/>
      <c r="C18" s="49"/>
      <c r="D18" s="49"/>
    </row>
    <row r="19" spans="1:8" ht="18.75" thickBot="1" x14ac:dyDescent="0.3">
      <c r="A19" s="42" t="s">
        <v>14</v>
      </c>
      <c r="B19" s="43">
        <v>2</v>
      </c>
      <c r="C19" s="44" t="s">
        <v>23</v>
      </c>
      <c r="D19" s="53">
        <f>$D$1+7</f>
        <v>45971</v>
      </c>
    </row>
    <row r="20" spans="1:8" ht="27.75" thickBot="1" x14ac:dyDescent="0.3">
      <c r="A20" s="45" t="s">
        <v>3</v>
      </c>
      <c r="B20" s="46" t="s">
        <v>15</v>
      </c>
      <c r="C20" s="45" t="s">
        <v>7</v>
      </c>
      <c r="D20" s="45" t="s">
        <v>13</v>
      </c>
    </row>
    <row r="21" spans="1:8" ht="15" x14ac:dyDescent="0.25">
      <c r="A21" s="96"/>
      <c r="B21" s="95"/>
      <c r="C21" s="94" t="s">
        <v>65</v>
      </c>
      <c r="D21" s="94"/>
    </row>
    <row r="22" spans="1:8" ht="15" x14ac:dyDescent="0.25">
      <c r="A22" s="111"/>
      <c r="B22" s="112"/>
      <c r="C22" s="113"/>
      <c r="D22" s="114"/>
    </row>
    <row r="23" spans="1:8" ht="15" x14ac:dyDescent="0.25">
      <c r="A23" s="107"/>
      <c r="B23" s="108"/>
      <c r="C23" s="109"/>
      <c r="D23" s="110"/>
    </row>
    <row r="24" spans="1:8" ht="14.25" x14ac:dyDescent="0.25">
      <c r="A24" s="97"/>
      <c r="B24" s="105"/>
      <c r="C24" s="106"/>
      <c r="D24" s="106"/>
    </row>
    <row r="25" spans="1:8" ht="15" x14ac:dyDescent="0.25">
      <c r="A25" s="1"/>
      <c r="B25" s="2"/>
      <c r="C25" s="93"/>
      <c r="D25" s="10"/>
      <c r="F25" s="34"/>
      <c r="G25" s="30"/>
      <c r="H25" s="30"/>
    </row>
    <row r="26" spans="1:8" x14ac:dyDescent="0.25">
      <c r="A26" s="1"/>
      <c r="B26" s="2"/>
      <c r="C26" s="93"/>
      <c r="D26" s="10"/>
      <c r="F26" s="36"/>
      <c r="G26" s="37"/>
      <c r="H26" s="37"/>
    </row>
    <row r="27" spans="1:8" x14ac:dyDescent="0.25">
      <c r="A27" s="1"/>
      <c r="B27" s="2"/>
      <c r="C27" s="10"/>
      <c r="D27" s="10"/>
      <c r="F27" s="36"/>
      <c r="G27" s="37"/>
      <c r="H27" s="37"/>
    </row>
    <row r="28" spans="1:8" x14ac:dyDescent="0.25">
      <c r="A28" s="1"/>
      <c r="B28" s="2"/>
      <c r="C28" s="10"/>
      <c r="D28" s="10"/>
      <c r="F28" s="36"/>
      <c r="G28" s="37"/>
      <c r="H28" s="37"/>
    </row>
    <row r="29" spans="1:8" x14ac:dyDescent="0.25">
      <c r="A29" s="1"/>
      <c r="B29" s="2"/>
      <c r="C29" s="10"/>
      <c r="D29" s="10"/>
      <c r="F29" s="36"/>
      <c r="G29" s="37"/>
      <c r="H29" s="37"/>
    </row>
    <row r="30" spans="1:8" x14ac:dyDescent="0.25">
      <c r="A30" s="2"/>
      <c r="B30" s="2"/>
      <c r="C30" s="10"/>
      <c r="D30" s="10"/>
      <c r="F30" s="36"/>
      <c r="G30" s="37"/>
      <c r="H30" s="37"/>
    </row>
    <row r="31" spans="1:8" x14ac:dyDescent="0.25">
      <c r="A31" s="2"/>
      <c r="B31" s="2"/>
      <c r="C31" s="10"/>
      <c r="D31" s="10"/>
      <c r="F31" s="36"/>
      <c r="G31" s="37"/>
      <c r="H31" s="37"/>
    </row>
    <row r="32" spans="1:8" x14ac:dyDescent="0.25">
      <c r="A32" s="2"/>
      <c r="B32" s="2"/>
      <c r="C32" s="10"/>
      <c r="D32" s="10"/>
      <c r="F32" s="36"/>
      <c r="G32" s="37"/>
      <c r="H32" s="37"/>
    </row>
    <row r="33" spans="1:8" x14ac:dyDescent="0.25">
      <c r="A33" s="50"/>
      <c r="B33" s="50"/>
      <c r="C33" s="51"/>
      <c r="D33" s="51"/>
      <c r="F33" s="36"/>
      <c r="G33" s="37"/>
      <c r="H33" s="37"/>
    </row>
    <row r="34" spans="1:8" x14ac:dyDescent="0.25">
      <c r="A34" s="50"/>
      <c r="B34" s="50"/>
      <c r="C34" s="51"/>
      <c r="D34" s="51"/>
      <c r="F34" s="38"/>
      <c r="G34" s="39"/>
      <c r="H34" s="39"/>
    </row>
    <row r="35" spans="1:8" ht="15" thickBot="1" x14ac:dyDescent="0.35">
      <c r="A35" s="3"/>
      <c r="B35" s="3"/>
      <c r="C35" s="11"/>
      <c r="D35" s="11"/>
      <c r="F35" s="40"/>
      <c r="G35" s="40"/>
      <c r="H35" s="40"/>
    </row>
    <row r="36" spans="1:8" ht="14.25" thickBot="1" x14ac:dyDescent="0.3">
      <c r="A36" s="47" t="s">
        <v>22</v>
      </c>
      <c r="B36" s="47">
        <f>SUM(B22:B35)</f>
        <v>0</v>
      </c>
      <c r="C36" s="87" t="s">
        <v>28</v>
      </c>
      <c r="D36" s="48"/>
    </row>
    <row r="37" spans="1:8" ht="15" thickBot="1" x14ac:dyDescent="0.35">
      <c r="A37" s="49"/>
      <c r="B37" s="49"/>
      <c r="C37" s="49"/>
      <c r="D37" s="49"/>
    </row>
    <row r="38" spans="1:8" ht="18.75" thickBot="1" x14ac:dyDescent="0.3">
      <c r="A38" s="42" t="s">
        <v>14</v>
      </c>
      <c r="B38" s="129">
        <v>3</v>
      </c>
      <c r="C38" s="44" t="s">
        <v>23</v>
      </c>
      <c r="D38" s="143">
        <f>$D$19+7</f>
        <v>45978</v>
      </c>
    </row>
    <row r="39" spans="1:8" ht="27.75" thickBot="1" x14ac:dyDescent="0.3">
      <c r="A39" s="121" t="s">
        <v>3</v>
      </c>
      <c r="B39" s="130" t="s">
        <v>15</v>
      </c>
      <c r="C39" s="135" t="s">
        <v>7</v>
      </c>
      <c r="D39" s="115" t="s">
        <v>13</v>
      </c>
    </row>
    <row r="40" spans="1:8" ht="54" x14ac:dyDescent="0.25">
      <c r="A40" s="122" t="s">
        <v>31</v>
      </c>
      <c r="B40" s="112">
        <v>2</v>
      </c>
      <c r="C40" s="134" t="s">
        <v>69</v>
      </c>
      <c r="D40" s="118"/>
    </row>
    <row r="41" spans="1:8" ht="27" x14ac:dyDescent="0.25">
      <c r="A41" s="120" t="s">
        <v>32</v>
      </c>
      <c r="B41" s="112">
        <v>1</v>
      </c>
      <c r="C41" s="136" t="s">
        <v>51</v>
      </c>
      <c r="D41" s="119"/>
    </row>
    <row r="42" spans="1:8" ht="162" x14ac:dyDescent="0.25">
      <c r="A42" s="133" t="s">
        <v>33</v>
      </c>
      <c r="B42" s="112">
        <v>5</v>
      </c>
      <c r="C42" s="113" t="s">
        <v>61</v>
      </c>
      <c r="D42" s="113" t="s">
        <v>36</v>
      </c>
    </row>
    <row r="43" spans="1:8" ht="54" x14ac:dyDescent="0.25">
      <c r="A43" s="111" t="s">
        <v>34</v>
      </c>
      <c r="B43" s="112">
        <v>1</v>
      </c>
      <c r="C43" s="145" t="s">
        <v>35</v>
      </c>
      <c r="D43" s="113"/>
    </row>
    <row r="44" spans="1:8" ht="15" x14ac:dyDescent="0.25">
      <c r="A44" s="123"/>
      <c r="B44" s="117"/>
      <c r="C44" s="137" t="s">
        <v>62</v>
      </c>
      <c r="D44" s="119"/>
    </row>
    <row r="45" spans="1:8" x14ac:dyDescent="0.25">
      <c r="A45" s="124" t="s">
        <v>21</v>
      </c>
      <c r="B45" s="131">
        <v>9</v>
      </c>
      <c r="C45" s="138" t="s">
        <v>60</v>
      </c>
      <c r="D45" s="10"/>
    </row>
    <row r="46" spans="1:8" x14ac:dyDescent="0.25">
      <c r="A46" s="124"/>
      <c r="B46" s="131"/>
      <c r="C46" s="139"/>
      <c r="D46" s="10"/>
    </row>
    <row r="47" spans="1:8" x14ac:dyDescent="0.25">
      <c r="A47" s="125"/>
      <c r="B47" s="131"/>
      <c r="C47" s="139"/>
      <c r="D47" s="10"/>
    </row>
    <row r="48" spans="1:8" x14ac:dyDescent="0.25">
      <c r="A48" s="125"/>
      <c r="B48" s="131"/>
      <c r="C48" s="139"/>
      <c r="D48" s="10"/>
    </row>
    <row r="49" spans="1:4" x14ac:dyDescent="0.25">
      <c r="A49" s="125"/>
      <c r="B49" s="131"/>
      <c r="C49" s="139"/>
      <c r="D49" s="10"/>
    </row>
    <row r="50" spans="1:4" x14ac:dyDescent="0.25">
      <c r="A50" s="126"/>
      <c r="B50" s="131"/>
      <c r="C50" s="140"/>
      <c r="D50" s="51"/>
    </row>
    <row r="51" spans="1:4" x14ac:dyDescent="0.25">
      <c r="A51" s="126"/>
      <c r="B51" s="131"/>
      <c r="C51" s="140"/>
      <c r="D51" s="51"/>
    </row>
    <row r="52" spans="1:4" ht="14.25" thickBot="1" x14ac:dyDescent="0.3">
      <c r="A52" s="127"/>
      <c r="B52" s="131"/>
      <c r="C52" s="141"/>
      <c r="D52" s="11"/>
    </row>
    <row r="53" spans="1:4" ht="14.25" thickBot="1" x14ac:dyDescent="0.3">
      <c r="A53" s="128" t="s">
        <v>22</v>
      </c>
      <c r="B53" s="132">
        <f>SUM(B40:B52)</f>
        <v>18</v>
      </c>
      <c r="C53" s="142" t="s">
        <v>63</v>
      </c>
      <c r="D53" s="144"/>
    </row>
    <row r="54" spans="1:4" ht="15" thickBot="1" x14ac:dyDescent="0.35">
      <c r="A54" s="49"/>
      <c r="B54" s="49"/>
      <c r="C54" s="49"/>
      <c r="D54" s="49"/>
    </row>
    <row r="55" spans="1:4" ht="18.75" thickBot="1" x14ac:dyDescent="0.3">
      <c r="A55" s="42" t="s">
        <v>14</v>
      </c>
      <c r="B55" s="43">
        <v>4</v>
      </c>
      <c r="C55" s="44" t="s">
        <v>23</v>
      </c>
      <c r="D55" s="53">
        <f>$D$38+7</f>
        <v>45985</v>
      </c>
    </row>
    <row r="56" spans="1:4" ht="27.75" thickBot="1" x14ac:dyDescent="0.3">
      <c r="A56" s="45" t="s">
        <v>3</v>
      </c>
      <c r="B56" s="46" t="s">
        <v>15</v>
      </c>
      <c r="C56" s="45" t="s">
        <v>7</v>
      </c>
      <c r="D56" s="45" t="s">
        <v>13</v>
      </c>
    </row>
    <row r="57" spans="1:4" ht="15.75" thickBot="1" x14ac:dyDescent="0.3">
      <c r="A57" s="5"/>
      <c r="B57" s="95"/>
      <c r="C57" s="103" t="s">
        <v>45</v>
      </c>
      <c r="D57" s="94"/>
    </row>
    <row r="58" spans="1:4" x14ac:dyDescent="0.25">
      <c r="A58" s="5" t="s">
        <v>37</v>
      </c>
      <c r="B58" s="4">
        <v>1</v>
      </c>
      <c r="C58" s="88" t="s">
        <v>38</v>
      </c>
      <c r="D58" s="9" t="s">
        <v>39</v>
      </c>
    </row>
    <row r="59" spans="1:4" ht="54" x14ac:dyDescent="0.25">
      <c r="A59" s="1" t="s">
        <v>40</v>
      </c>
      <c r="B59" s="2">
        <v>1</v>
      </c>
      <c r="C59" s="89" t="s">
        <v>50</v>
      </c>
      <c r="D59" s="10"/>
    </row>
    <row r="60" spans="1:4" ht="94.5" x14ac:dyDescent="0.25">
      <c r="A60" s="1" t="s">
        <v>41</v>
      </c>
      <c r="B60" s="2">
        <v>2</v>
      </c>
      <c r="C60" s="89" t="s">
        <v>73</v>
      </c>
      <c r="D60" s="10"/>
    </row>
    <row r="61" spans="1:4" ht="67.5" x14ac:dyDescent="0.25">
      <c r="A61" s="1" t="s">
        <v>42</v>
      </c>
      <c r="B61" s="2">
        <v>1</v>
      </c>
      <c r="C61" s="89" t="s">
        <v>43</v>
      </c>
      <c r="D61" s="10"/>
    </row>
    <row r="62" spans="1:4" ht="40.5" x14ac:dyDescent="0.25">
      <c r="A62" s="1" t="s">
        <v>44</v>
      </c>
      <c r="B62" s="2">
        <v>2</v>
      </c>
      <c r="C62" s="89" t="s">
        <v>74</v>
      </c>
      <c r="D62" s="10"/>
    </row>
    <row r="63" spans="1:4" ht="27" x14ac:dyDescent="0.25">
      <c r="A63" s="1" t="s">
        <v>46</v>
      </c>
      <c r="B63" s="2">
        <v>2</v>
      </c>
      <c r="C63" s="89" t="s">
        <v>75</v>
      </c>
      <c r="D63" s="10"/>
    </row>
    <row r="64" spans="1:4" x14ac:dyDescent="0.25">
      <c r="A64" s="1"/>
      <c r="B64" s="2"/>
      <c r="C64" s="10"/>
      <c r="D64" s="10"/>
    </row>
    <row r="65" spans="1:4" x14ac:dyDescent="0.25">
      <c r="A65" s="2"/>
      <c r="B65" s="2"/>
      <c r="C65" s="10"/>
      <c r="D65" s="10"/>
    </row>
    <row r="66" spans="1:4" x14ac:dyDescent="0.25">
      <c r="A66" s="2"/>
      <c r="B66" s="2"/>
      <c r="C66" s="10"/>
      <c r="D66" s="10"/>
    </row>
    <row r="67" spans="1:4" x14ac:dyDescent="0.25">
      <c r="A67" s="2"/>
      <c r="B67" s="2"/>
      <c r="C67" s="10"/>
      <c r="D67" s="10"/>
    </row>
    <row r="68" spans="1:4" x14ac:dyDescent="0.25">
      <c r="A68" s="50"/>
      <c r="B68" s="50"/>
      <c r="C68" s="51"/>
      <c r="D68" s="51"/>
    </row>
    <row r="69" spans="1:4" x14ac:dyDescent="0.25">
      <c r="A69" s="50"/>
      <c r="B69" s="50"/>
      <c r="C69" s="51"/>
      <c r="D69" s="51"/>
    </row>
    <row r="70" spans="1:4" ht="14.25" thickBot="1" x14ac:dyDescent="0.3">
      <c r="A70" s="3"/>
      <c r="B70" s="3"/>
      <c r="C70" s="11"/>
      <c r="D70" s="11"/>
    </row>
    <row r="71" spans="1:4" ht="14.25" thickBot="1" x14ac:dyDescent="0.3">
      <c r="A71" s="47" t="s">
        <v>22</v>
      </c>
      <c r="B71" s="47">
        <f>SUM(B57:B70)</f>
        <v>9</v>
      </c>
      <c r="C71" s="87" t="s">
        <v>28</v>
      </c>
      <c r="D71" s="48"/>
    </row>
    <row r="72" spans="1:4" ht="15" thickBot="1" x14ac:dyDescent="0.35">
      <c r="A72" s="49"/>
      <c r="B72" s="49"/>
      <c r="C72" s="49"/>
      <c r="D72" s="49"/>
    </row>
    <row r="73" spans="1:4" ht="18.75" thickBot="1" x14ac:dyDescent="0.3">
      <c r="A73" s="42" t="s">
        <v>14</v>
      </c>
      <c r="B73" s="43">
        <v>5</v>
      </c>
      <c r="C73" s="44" t="s">
        <v>23</v>
      </c>
      <c r="D73" s="53">
        <f>$D$55+7</f>
        <v>45992</v>
      </c>
    </row>
    <row r="74" spans="1:4" ht="27.75" thickBot="1" x14ac:dyDescent="0.3">
      <c r="A74" s="45" t="s">
        <v>3</v>
      </c>
      <c r="B74" s="46" t="s">
        <v>15</v>
      </c>
      <c r="C74" s="45" t="s">
        <v>7</v>
      </c>
      <c r="D74" s="45" t="s">
        <v>13</v>
      </c>
    </row>
    <row r="75" spans="1:4" ht="15.75" thickBot="1" x14ac:dyDescent="0.3">
      <c r="A75" s="5"/>
      <c r="B75" s="95"/>
      <c r="C75" s="103" t="s">
        <v>67</v>
      </c>
      <c r="D75" s="94"/>
    </row>
    <row r="76" spans="1:4" ht="27" x14ac:dyDescent="0.25">
      <c r="A76" s="5" t="s">
        <v>46</v>
      </c>
      <c r="B76" s="4">
        <v>2</v>
      </c>
      <c r="C76" s="99" t="s">
        <v>49</v>
      </c>
      <c r="D76" s="10"/>
    </row>
    <row r="77" spans="1:4" ht="27" x14ac:dyDescent="0.25">
      <c r="A77" s="1" t="s">
        <v>47</v>
      </c>
      <c r="B77" s="2">
        <v>1</v>
      </c>
      <c r="C77" s="89" t="s">
        <v>48</v>
      </c>
      <c r="D77" s="10"/>
    </row>
    <row r="78" spans="1:4" ht="40.5" x14ac:dyDescent="0.25">
      <c r="A78" s="1" t="s">
        <v>52</v>
      </c>
      <c r="B78" s="2">
        <v>1</v>
      </c>
      <c r="C78" s="89" t="s">
        <v>56</v>
      </c>
      <c r="D78" s="10"/>
    </row>
    <row r="79" spans="1:4" ht="54" x14ac:dyDescent="0.25">
      <c r="A79" s="1" t="s">
        <v>53</v>
      </c>
      <c r="B79" s="2">
        <v>2</v>
      </c>
      <c r="C79" s="89" t="s">
        <v>57</v>
      </c>
      <c r="D79" s="10"/>
    </row>
    <row r="80" spans="1:4" ht="40.5" x14ac:dyDescent="0.25">
      <c r="A80" s="1" t="s">
        <v>54</v>
      </c>
      <c r="B80" s="2">
        <v>2</v>
      </c>
      <c r="C80" s="89" t="s">
        <v>58</v>
      </c>
      <c r="D80" s="10"/>
    </row>
    <row r="81" spans="1:4" ht="27" x14ac:dyDescent="0.25">
      <c r="A81" s="1" t="s">
        <v>55</v>
      </c>
      <c r="B81" s="2">
        <v>1</v>
      </c>
      <c r="C81" s="89" t="s">
        <v>59</v>
      </c>
      <c r="D81" s="10"/>
    </row>
    <row r="82" spans="1:4" x14ac:dyDescent="0.25">
      <c r="A82" s="1"/>
      <c r="B82" s="2"/>
      <c r="C82" s="10"/>
      <c r="D82" s="10"/>
    </row>
    <row r="83" spans="1:4" x14ac:dyDescent="0.25">
      <c r="A83" s="1"/>
      <c r="B83" s="2"/>
      <c r="C83" s="10"/>
      <c r="D83" s="10"/>
    </row>
    <row r="84" spans="1:4" x14ac:dyDescent="0.25">
      <c r="A84" s="2"/>
      <c r="B84" s="2"/>
      <c r="C84" s="10"/>
      <c r="D84" s="10"/>
    </row>
    <row r="85" spans="1:4" x14ac:dyDescent="0.25">
      <c r="A85" s="2"/>
      <c r="B85" s="2"/>
      <c r="C85" s="10"/>
      <c r="D85" s="10"/>
    </row>
    <row r="86" spans="1:4" x14ac:dyDescent="0.25">
      <c r="A86" s="2"/>
      <c r="B86" s="2"/>
      <c r="C86" s="10"/>
      <c r="D86" s="10"/>
    </row>
    <row r="87" spans="1:4" x14ac:dyDescent="0.25">
      <c r="A87" s="50"/>
      <c r="B87" s="50"/>
      <c r="C87" s="51"/>
      <c r="D87" s="51"/>
    </row>
    <row r="88" spans="1:4" x14ac:dyDescent="0.25">
      <c r="A88" s="50"/>
      <c r="B88" s="50"/>
      <c r="C88" s="51"/>
      <c r="D88" s="51"/>
    </row>
    <row r="89" spans="1:4" ht="14.25" thickBot="1" x14ac:dyDescent="0.3">
      <c r="A89" s="3"/>
      <c r="B89" s="3"/>
      <c r="C89" s="11"/>
      <c r="D89" s="11"/>
    </row>
    <row r="90" spans="1:4" ht="14.25" thickBot="1" x14ac:dyDescent="0.3">
      <c r="A90" s="47" t="s">
        <v>22</v>
      </c>
      <c r="B90" s="47">
        <f>SUM(B75:B89)</f>
        <v>9</v>
      </c>
      <c r="C90" s="87" t="s">
        <v>28</v>
      </c>
      <c r="D90" s="48"/>
    </row>
    <row r="91" spans="1:4" ht="15" thickBot="1" x14ac:dyDescent="0.35">
      <c r="A91" s="49"/>
      <c r="B91" s="49"/>
      <c r="C91" s="49"/>
      <c r="D91" s="49"/>
    </row>
    <row r="92" spans="1:4" ht="18.75" thickBot="1" x14ac:dyDescent="0.3">
      <c r="A92" s="42" t="s">
        <v>14</v>
      </c>
      <c r="B92" s="43">
        <v>6</v>
      </c>
      <c r="C92" s="44" t="s">
        <v>23</v>
      </c>
      <c r="D92" s="53">
        <f>$D$73+7</f>
        <v>45999</v>
      </c>
    </row>
    <row r="93" spans="1:4" ht="27.75" thickBot="1" x14ac:dyDescent="0.3">
      <c r="A93" s="45" t="s">
        <v>3</v>
      </c>
      <c r="B93" s="46" t="s">
        <v>15</v>
      </c>
      <c r="C93" s="45" t="s">
        <v>7</v>
      </c>
      <c r="D93" s="45" t="s">
        <v>13</v>
      </c>
    </row>
    <row r="94" spans="1:4" ht="15.75" thickBot="1" x14ac:dyDescent="0.3">
      <c r="A94" s="101"/>
      <c r="B94" s="102"/>
      <c r="C94" s="103" t="s">
        <v>66</v>
      </c>
      <c r="D94" s="103"/>
    </row>
    <row r="95" spans="1:4" ht="27" x14ac:dyDescent="0.25">
      <c r="A95" s="97" t="s">
        <v>68</v>
      </c>
      <c r="B95" s="98">
        <v>3</v>
      </c>
      <c r="C95" s="89" t="s">
        <v>70</v>
      </c>
      <c r="D95" s="104"/>
    </row>
    <row r="96" spans="1:4" ht="27" x14ac:dyDescent="0.25">
      <c r="A96" s="1" t="s">
        <v>46</v>
      </c>
      <c r="B96" s="2">
        <v>3</v>
      </c>
      <c r="C96" s="89" t="s">
        <v>71</v>
      </c>
      <c r="D96" s="10"/>
    </row>
    <row r="97" spans="1:4" ht="27" x14ac:dyDescent="0.25">
      <c r="A97" s="1" t="s">
        <v>47</v>
      </c>
      <c r="B97" s="2">
        <v>3</v>
      </c>
      <c r="C97" s="93" t="s">
        <v>76</v>
      </c>
      <c r="D97" s="10"/>
    </row>
    <row r="98" spans="1:4" x14ac:dyDescent="0.25">
      <c r="A98" s="1" t="s">
        <v>72</v>
      </c>
      <c r="B98" s="2"/>
      <c r="C98" s="10"/>
      <c r="D98" s="10"/>
    </row>
    <row r="99" spans="1:4" x14ac:dyDescent="0.25">
      <c r="A99" s="1"/>
      <c r="B99" s="2"/>
      <c r="C99" s="10"/>
      <c r="D99" s="10"/>
    </row>
    <row r="100" spans="1:4" x14ac:dyDescent="0.25">
      <c r="A100" s="1"/>
      <c r="B100" s="2"/>
      <c r="C100" s="10"/>
      <c r="D100" s="10"/>
    </row>
    <row r="101" spans="1:4" x14ac:dyDescent="0.25">
      <c r="A101" s="2"/>
      <c r="B101" s="2"/>
      <c r="C101" s="10"/>
      <c r="D101" s="10"/>
    </row>
    <row r="102" spans="1:4" x14ac:dyDescent="0.25">
      <c r="A102" s="2"/>
      <c r="B102" s="2"/>
      <c r="C102" s="10"/>
      <c r="D102" s="10"/>
    </row>
    <row r="103" spans="1:4" x14ac:dyDescent="0.25">
      <c r="A103" s="2"/>
      <c r="B103" s="2"/>
      <c r="C103" s="10"/>
      <c r="D103" s="10"/>
    </row>
    <row r="104" spans="1:4" x14ac:dyDescent="0.25">
      <c r="A104" s="50"/>
      <c r="B104" s="50"/>
      <c r="C104" s="51"/>
      <c r="D104" s="51"/>
    </row>
    <row r="105" spans="1:4" x14ac:dyDescent="0.25">
      <c r="A105" s="50"/>
      <c r="B105" s="50"/>
      <c r="C105" s="51"/>
      <c r="D105" s="51"/>
    </row>
    <row r="106" spans="1:4" ht="14.25" thickBot="1" x14ac:dyDescent="0.3">
      <c r="A106" s="3"/>
      <c r="B106" s="3"/>
      <c r="C106" s="11"/>
      <c r="D106" s="11"/>
    </row>
    <row r="107" spans="1:4" ht="14.25" thickBot="1" x14ac:dyDescent="0.3">
      <c r="A107" s="47" t="s">
        <v>22</v>
      </c>
      <c r="B107" s="47">
        <f>SUM(B94:B106)</f>
        <v>9</v>
      </c>
      <c r="C107" s="87" t="s">
        <v>28</v>
      </c>
      <c r="D107" s="48"/>
    </row>
    <row r="108" spans="1:4" ht="15" thickBot="1" x14ac:dyDescent="0.35">
      <c r="A108" s="49"/>
      <c r="B108" s="49"/>
      <c r="C108" s="49"/>
      <c r="D108" s="49"/>
    </row>
    <row r="109" spans="1:4" ht="18.75" thickBot="1" x14ac:dyDescent="0.3">
      <c r="A109" s="42" t="s">
        <v>14</v>
      </c>
      <c r="B109" s="43">
        <v>7</v>
      </c>
      <c r="C109" s="44" t="s">
        <v>23</v>
      </c>
      <c r="D109" s="53">
        <f>$D$92+7</f>
        <v>46006</v>
      </c>
    </row>
    <row r="110" spans="1:4" ht="27.75" thickBot="1" x14ac:dyDescent="0.3">
      <c r="A110" s="45" t="s">
        <v>3</v>
      </c>
      <c r="B110" s="46" t="s">
        <v>15</v>
      </c>
      <c r="C110" s="45" t="s">
        <v>7</v>
      </c>
      <c r="D110" s="45" t="s">
        <v>13</v>
      </c>
    </row>
    <row r="111" spans="1:4" x14ac:dyDescent="0.25">
      <c r="A111" s="5"/>
      <c r="B111" s="4"/>
      <c r="C111" s="88"/>
      <c r="D111" s="9"/>
    </row>
    <row r="112" spans="1:4" x14ac:dyDescent="0.25">
      <c r="A112" s="1"/>
      <c r="B112" s="2"/>
      <c r="C112" s="90"/>
      <c r="D112" s="10"/>
    </row>
    <row r="113" spans="1:4" x14ac:dyDescent="0.25">
      <c r="A113" s="1"/>
      <c r="B113" s="2"/>
      <c r="C113" s="89"/>
      <c r="D113" s="91"/>
    </row>
    <row r="114" spans="1:4" x14ac:dyDescent="0.25">
      <c r="A114" s="1"/>
      <c r="B114" s="2"/>
      <c r="C114" s="10"/>
      <c r="D114" s="10"/>
    </row>
    <row r="115" spans="1:4" x14ac:dyDescent="0.25">
      <c r="A115" s="1"/>
      <c r="B115" s="2"/>
      <c r="C115" s="10"/>
      <c r="D115" s="10"/>
    </row>
    <row r="116" spans="1:4" x14ac:dyDescent="0.25">
      <c r="A116" s="1"/>
      <c r="B116" s="2"/>
      <c r="C116" s="10"/>
      <c r="D116" s="10"/>
    </row>
    <row r="117" spans="1:4" x14ac:dyDescent="0.25">
      <c r="A117" s="1"/>
      <c r="B117" s="2"/>
      <c r="C117" s="10"/>
      <c r="D117" s="10"/>
    </row>
    <row r="118" spans="1:4" x14ac:dyDescent="0.25">
      <c r="A118" s="1"/>
      <c r="B118" s="2"/>
      <c r="C118" s="10"/>
      <c r="D118" s="10"/>
    </row>
    <row r="119" spans="1:4" x14ac:dyDescent="0.25">
      <c r="A119" s="1"/>
      <c r="B119" s="2"/>
      <c r="C119" s="10"/>
      <c r="D119" s="10"/>
    </row>
    <row r="120" spans="1:4" x14ac:dyDescent="0.25">
      <c r="A120" s="2"/>
      <c r="B120" s="2"/>
      <c r="C120" s="10"/>
      <c r="D120" s="10"/>
    </row>
    <row r="121" spans="1:4" x14ac:dyDescent="0.25">
      <c r="A121" s="2"/>
      <c r="B121" s="2"/>
      <c r="C121" s="10"/>
      <c r="D121" s="10"/>
    </row>
    <row r="122" spans="1:4" x14ac:dyDescent="0.25">
      <c r="A122" s="2"/>
      <c r="B122" s="2"/>
      <c r="C122" s="10"/>
      <c r="D122" s="10"/>
    </row>
    <row r="123" spans="1:4" x14ac:dyDescent="0.25">
      <c r="A123" s="50"/>
      <c r="B123" s="50"/>
      <c r="C123" s="51"/>
      <c r="D123" s="51"/>
    </row>
    <row r="124" spans="1:4" x14ac:dyDescent="0.25">
      <c r="A124" s="50"/>
      <c r="B124" s="50"/>
      <c r="C124" s="51"/>
      <c r="D124" s="51"/>
    </row>
    <row r="125" spans="1:4" ht="14.25" thickBot="1" x14ac:dyDescent="0.3">
      <c r="A125" s="3"/>
      <c r="B125" s="3"/>
      <c r="C125" s="11"/>
      <c r="D125" s="11"/>
    </row>
    <row r="126" spans="1:4" ht="14.25" thickBot="1" x14ac:dyDescent="0.3">
      <c r="A126" s="47" t="s">
        <v>22</v>
      </c>
      <c r="B126" s="47">
        <f>SUM(B111:B125)</f>
        <v>0</v>
      </c>
      <c r="C126" s="87" t="s">
        <v>30</v>
      </c>
      <c r="D126" s="48"/>
    </row>
    <row r="127" spans="1:4" ht="15" thickBot="1" x14ac:dyDescent="0.35">
      <c r="A127" s="49"/>
      <c r="B127" s="49"/>
      <c r="C127" s="49"/>
      <c r="D127" s="49"/>
    </row>
    <row r="128" spans="1:4" ht="18.75" thickBot="1" x14ac:dyDescent="0.3">
      <c r="A128" s="42" t="s">
        <v>14</v>
      </c>
      <c r="B128" s="43">
        <v>8</v>
      </c>
      <c r="C128" s="44" t="s">
        <v>23</v>
      </c>
      <c r="D128" s="53">
        <f>$D$109+21</f>
        <v>46027</v>
      </c>
    </row>
    <row r="129" spans="1:4" ht="27.75" thickBot="1" x14ac:dyDescent="0.3">
      <c r="A129" s="45" t="s">
        <v>3</v>
      </c>
      <c r="B129" s="46" t="s">
        <v>15</v>
      </c>
      <c r="C129" s="45" t="s">
        <v>7</v>
      </c>
      <c r="D129" s="45" t="s">
        <v>13</v>
      </c>
    </row>
    <row r="130" spans="1:4" x14ac:dyDescent="0.25">
      <c r="A130" s="5"/>
      <c r="B130" s="4"/>
      <c r="C130" s="92"/>
      <c r="D130" s="9"/>
    </row>
    <row r="131" spans="1:4" x14ac:dyDescent="0.25">
      <c r="A131" s="1"/>
      <c r="B131" s="2"/>
      <c r="C131" s="93"/>
      <c r="D131" s="10"/>
    </row>
    <row r="132" spans="1:4" x14ac:dyDescent="0.25">
      <c r="A132" s="1"/>
      <c r="B132" s="2"/>
      <c r="C132" s="10"/>
      <c r="D132" s="10"/>
    </row>
    <row r="133" spans="1:4" x14ac:dyDescent="0.25">
      <c r="A133" s="1"/>
      <c r="B133" s="2"/>
      <c r="C133" s="10"/>
      <c r="D133" s="10"/>
    </row>
    <row r="134" spans="1:4" x14ac:dyDescent="0.25">
      <c r="A134" s="1"/>
      <c r="B134" s="2"/>
      <c r="C134" s="10"/>
      <c r="D134" s="10"/>
    </row>
    <row r="135" spans="1:4" x14ac:dyDescent="0.25">
      <c r="A135" s="1"/>
      <c r="B135" s="2"/>
      <c r="C135" s="10"/>
      <c r="D135" s="10"/>
    </row>
    <row r="136" spans="1:4" x14ac:dyDescent="0.25">
      <c r="A136" s="1"/>
      <c r="B136" s="2"/>
      <c r="C136" s="10"/>
      <c r="D136" s="10"/>
    </row>
    <row r="137" spans="1:4" x14ac:dyDescent="0.25">
      <c r="A137" s="1"/>
      <c r="B137" s="2"/>
      <c r="C137" s="10"/>
      <c r="D137" s="10"/>
    </row>
    <row r="138" spans="1:4" x14ac:dyDescent="0.25">
      <c r="A138" s="1"/>
      <c r="B138" s="2"/>
      <c r="C138" s="10"/>
      <c r="D138" s="10"/>
    </row>
    <row r="139" spans="1:4" x14ac:dyDescent="0.25">
      <c r="A139" s="2"/>
      <c r="B139" s="2"/>
      <c r="C139" s="10"/>
      <c r="D139" s="10"/>
    </row>
    <row r="140" spans="1:4" x14ac:dyDescent="0.25">
      <c r="A140" s="2"/>
      <c r="B140" s="2"/>
      <c r="C140" s="10"/>
      <c r="D140" s="10"/>
    </row>
    <row r="141" spans="1:4" x14ac:dyDescent="0.25">
      <c r="A141" s="2"/>
      <c r="B141" s="2"/>
      <c r="C141" s="10"/>
      <c r="D141" s="10"/>
    </row>
    <row r="142" spans="1:4" x14ac:dyDescent="0.25">
      <c r="A142" s="50"/>
      <c r="B142" s="50"/>
      <c r="C142" s="51"/>
      <c r="D142" s="51"/>
    </row>
    <row r="143" spans="1:4" x14ac:dyDescent="0.25">
      <c r="A143" s="50"/>
      <c r="B143" s="50"/>
      <c r="C143" s="51"/>
      <c r="D143" s="51"/>
    </row>
    <row r="144" spans="1:4" ht="14.25" thickBot="1" x14ac:dyDescent="0.3">
      <c r="A144" s="3"/>
      <c r="B144" s="3"/>
      <c r="C144" s="11"/>
      <c r="D144" s="11"/>
    </row>
    <row r="145" spans="1:4" ht="14.25" thickBot="1" x14ac:dyDescent="0.3">
      <c r="A145" s="47" t="s">
        <v>22</v>
      </c>
      <c r="B145" s="47">
        <f>SUM(B130:B144)</f>
        <v>0</v>
      </c>
      <c r="C145" s="87" t="s">
        <v>28</v>
      </c>
      <c r="D145" s="48"/>
    </row>
    <row r="146" spans="1:4" ht="14.25" x14ac:dyDescent="0.3">
      <c r="A146" s="49"/>
      <c r="B146" s="49"/>
      <c r="C146" s="49"/>
      <c r="D146" s="49"/>
    </row>
    <row r="147" spans="1:4" x14ac:dyDescent="0.25">
      <c r="A147" s="86" t="s">
        <v>29</v>
      </c>
    </row>
  </sheetData>
  <dataValidations count="4">
    <dataValidation type="whole" errorStyle="warning" allowBlank="1" showInputMessage="1" showErrorMessage="1" errorTitle="Dépassement de durée" error="Le nombre de minutes introduites dépasse la durée d'une période. Veuillez confirmer ... Le calcul du total sera juste dans tous les cas._x000a_" sqref="F34" xr:uid="{44460710-E505-40B8-8485-BA41A2FB3DB5}">
      <formula1>0</formula1>
      <formula2>DureePeriode-1</formula2>
    </dataValidation>
    <dataValidation type="whole" errorStyle="warning" operator="greaterThan" allowBlank="1" showInputMessage="1" showErrorMessage="1" errorTitle="Durée en 1/3 de période" error="Le nombre doit être de type entier" sqref="F26:F33 B45:B52 B4:B16 B76:B89 B111:B125 B130:B144 B25:B35 B58:B70 B95:B106" xr:uid="{B23B642E-0B29-4ED8-A409-C50EB7CC17BF}">
      <formula1>0</formula1>
    </dataValidation>
    <dataValidation type="whole" errorStyle="warning" allowBlank="1" showErrorMessage="1" errorTitle="Dépassement de durée" error="Le nombre de minutes introduites dépasse la durée d'une période. Veuillez confirmer ... Le calcul du total sera juste dans tous les cas._x000a_" sqref="B17 B36 B53 B71 B90 B107 B126 B145" xr:uid="{C02FA86D-12F2-40ED-8F5D-F7684A1E2EDD}">
      <formula1>0</formula1>
      <formula2>NbPerWeek * NbQuartPer</formula2>
    </dataValidation>
    <dataValidation type="list" allowBlank="1" showInputMessage="1" showErrorMessage="1" sqref="A40:A52 A111:A125 A130:A144 A75:A89 A57:A70 A21:A35 A3:A16 A94:A106" xr:uid="{BCBC0613-73E6-47AF-B0DB-7981EF783ABA}">
      <formula1>lstTasks</formula1>
    </dataValidation>
  </dataValidations>
  <pageMargins left="0.70866141732283472" right="0.70866141732283472" top="0.74803149606299213" bottom="0.74803149606299213" header="0.31496062992125984" footer="0.31496062992125984"/>
  <pageSetup paperSize="9" scale="80" fitToHeight="0" orientation="landscape" r:id="rId1"/>
  <drawing r:id="rId2"/>
  <legacyDrawing r:id="rId3"/>
  <controls>
    <mc:AlternateContent xmlns:mc="http://schemas.openxmlformats.org/markup-compatibility/2006">
      <mc:Choice Requires="x14">
        <control shapeId="43009" r:id="rId4" name="btnImportRealisation">
          <controlPr defaultSize="0" autoLine="0" r:id="rId5">
            <anchor moveWithCells="1">
              <from>
                <xdr:col>4</xdr:col>
                <xdr:colOff>590550</xdr:colOff>
                <xdr:row>0</xdr:row>
                <xdr:rowOff>180975</xdr:rowOff>
              </from>
              <to>
                <xdr:col>7</xdr:col>
                <xdr:colOff>257175</xdr:colOff>
                <xdr:row>2</xdr:row>
                <xdr:rowOff>152400</xdr:rowOff>
              </to>
            </anchor>
          </controlPr>
        </control>
      </mc:Choice>
      <mc:Fallback>
        <control shapeId="43009" r:id="rId4" name="btnImportRealisation"/>
      </mc:Fallback>
    </mc:AlternateContent>
  </control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Belge" ma:contentTypeID="0x0101001ABD9BFFC9E543439C53A2705AE306EF" ma:contentTypeVersion="14" ma:contentTypeDescription="Yeni belge oluşturun." ma:contentTypeScope="" ma:versionID="ee0afad02cec1cb5c008e069b7696935">
  <xsd:schema xmlns:xsd="http://www.w3.org/2001/XMLSchema" xmlns:xs="http://www.w3.org/2001/XMLSchema" xmlns:p="http://schemas.microsoft.com/office/2006/metadata/properties" xmlns:ns2="bf2f2df3-a963-4452-b0e7-67dabc627c35" xmlns:ns3="f7d9f5a6-831d-4621-8c77-cbcaf993e406" targetNamespace="http://schemas.microsoft.com/office/2006/metadata/properties" ma:root="true" ma:fieldsID="071b3019c14a3acff1c11c5229ff0248" ns2:_="" ns3:_="">
    <xsd:import namespace="bf2f2df3-a963-4452-b0e7-67dabc627c35"/>
    <xsd:import namespace="f7d9f5a6-831d-4621-8c77-cbcaf993e406"/>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GenerationTime" minOccurs="0"/>
                <xsd:element ref="ns2:MediaServiceEventHashCode"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DateTaken" minOccurs="0"/>
                <xsd:element ref="ns2:MediaLengthInSeconds"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f2df3-a963-4452-b0e7-67dabc627c3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GenerationTime" ma:index="11" nillable="true" ma:displayName="MediaServiceGenerationTime" ma:hidden="true" ma:internalName="MediaServiceGenerationTime"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lcf76f155ced4ddcb4097134ff3c332f" ma:index="16" nillable="true" ma:taxonomy="true" ma:internalName="lcf76f155ced4ddcb4097134ff3c332f" ma:taxonomyFieldName="MediaServiceImageTags" ma:displayName="Resim Etiketleri"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DateTaken" ma:index="19" nillable="true" ma:displayName="MediaServiceDateTaken" ma:hidden="true" ma:indexed="true" ma:internalName="MediaServiceDateTaken"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MediaServiceOCR" ma:index="21"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f7d9f5a6-831d-4621-8c77-cbcaf993e406" elementFormDefault="qualified">
    <xsd:import namespace="http://schemas.microsoft.com/office/2006/documentManagement/types"/>
    <xsd:import namespace="http://schemas.microsoft.com/office/infopath/2007/PartnerControls"/>
    <xsd:element name="SharedWithUsers" ma:index="13" nillable="true" ma:displayName="Paylaşılanlar"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Ayrıntıları ile Paylaşıldı" ma:internalName="SharedWithDetails" ma:readOnly="true">
      <xsd:simpleType>
        <xsd:restriction base="dms:Note">
          <xsd:maxLength value="255"/>
        </xsd:restriction>
      </xsd:simpleType>
    </xsd:element>
    <xsd:element name="TaxCatchAll" ma:index="17" nillable="true" ma:displayName="Taxonomy Catch All Column" ma:hidden="true" ma:list="{d5ae18fe-e647-4d3d-978d-a159861f0a34}" ma:internalName="TaxCatchAll" ma:showField="CatchAllData" ma:web="f7d9f5a6-831d-4621-8c77-cbcaf993e40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çerik Türü"/>
        <xsd:element ref="dc:title" minOccurs="0" maxOccurs="1" ma:index="4" ma:displayName="Başlık"/>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f2f2df3-a963-4452-b0e7-67dabc627c35">
      <Terms xmlns="http://schemas.microsoft.com/office/infopath/2007/PartnerControls"/>
    </lcf76f155ced4ddcb4097134ff3c332f>
    <TaxCatchAll xmlns="f7d9f5a6-831d-4621-8c77-cbcaf993e406" xsi:nil="true"/>
  </documentManagement>
</p:properties>
</file>

<file path=customXml/itemProps1.xml><?xml version="1.0" encoding="utf-8"?>
<ds:datastoreItem xmlns:ds="http://schemas.openxmlformats.org/officeDocument/2006/customXml" ds:itemID="{483719EA-391A-4C4B-985B-9805B7FCB9D5}">
  <ds:schemaRefs>
    <ds:schemaRef ds:uri="http://schemas.microsoft.com/sharepoint/v3/contenttype/forms"/>
  </ds:schemaRefs>
</ds:datastoreItem>
</file>

<file path=customXml/itemProps2.xml><?xml version="1.0" encoding="utf-8"?>
<ds:datastoreItem xmlns:ds="http://schemas.openxmlformats.org/officeDocument/2006/customXml" ds:itemID="{15235525-7A96-4FDC-BE0C-FC0EC8076A2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f2df3-a963-4452-b0e7-67dabc627c35"/>
    <ds:schemaRef ds:uri="f7d9f5a6-831d-4621-8c77-cbcaf993e40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7C29126A-0525-4FCA-A870-5924A033DD5A}">
  <ds:schemaRefs>
    <ds:schemaRef ds:uri="http://schemas.microsoft.com/office/2006/metadata/properties"/>
    <ds:schemaRef ds:uri="http://schemas.microsoft.com/office/infopath/2007/PartnerControls"/>
    <ds:schemaRef ds:uri="bf2f2df3-a963-4452-b0e7-67dabc627c35"/>
    <ds:schemaRef ds:uri="f7d9f5a6-831d-4621-8c77-cbcaf993e406"/>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vt:i4>
      </vt:variant>
      <vt:variant>
        <vt:lpstr>Plages nommées</vt:lpstr>
      </vt:variant>
      <vt:variant>
        <vt:i4>10</vt:i4>
      </vt:variant>
    </vt:vector>
  </HeadingPairs>
  <TitlesOfParts>
    <vt:vector size="16" baseType="lpstr">
      <vt:lpstr>Donnees</vt:lpstr>
      <vt:lpstr>DiagramHeader</vt:lpstr>
      <vt:lpstr>DiagramFooter</vt:lpstr>
      <vt:lpstr>PlanificationWeek</vt:lpstr>
      <vt:lpstr>achievementWeek</vt:lpstr>
      <vt:lpstr>JNLTRAV</vt:lpstr>
      <vt:lpstr>datDateBegin</vt:lpstr>
      <vt:lpstr>lstTasks</vt:lpstr>
      <vt:lpstr>NbPerWeek</vt:lpstr>
      <vt:lpstr>NbQuartPer</vt:lpstr>
      <vt:lpstr>NbWeeks</vt:lpstr>
      <vt:lpstr>objFooterDiagram</vt:lpstr>
      <vt:lpstr>objPlanifWeek</vt:lpstr>
      <vt:lpstr>achievementWeek!objRealizedWeek</vt:lpstr>
      <vt:lpstr>JNLTRAV!objRealizedWeek</vt:lpstr>
      <vt:lpstr>Donnees!Zone_d_impression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JNLTRAV</dc:title>
  <dc:subject>Journal de travail</dc:subject>
  <dc:creator>Matias Denis</dc:creator>
  <cp:lastModifiedBy>Matias Denis</cp:lastModifiedBy>
  <cp:lastPrinted>2025-12-11T10:03:04Z</cp:lastPrinted>
  <dcterms:created xsi:type="dcterms:W3CDTF">1996-10-21T11:03:58Z</dcterms:created>
  <dcterms:modified xsi:type="dcterms:W3CDTF">2025-12-11T10:57:02Z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0x0101001ABD9BFFC9E543439C53A2705AE306EF</vt:lpwstr>
  </property>
</Properties>
</file>