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AFEEA9C3-D9DD-495E-BCA1-D78D3595E508}" xr6:coauthVersionLast="47" xr6:coauthVersionMax="47" xr10:uidLastSave="{00000000-0000-0000-0000-000000000000}"/>
  <bookViews>
    <workbookView xWindow="-12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JNLTRAV!$A$1:$D$18</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56" l="1"/>
  <c r="D1" i="156"/>
  <c r="D19" i="156" s="1"/>
  <c r="D38" i="156" s="1"/>
  <c r="D55" i="156" s="1"/>
  <c r="D73" i="156" s="1"/>
  <c r="D92" i="156" s="1"/>
  <c r="D109" i="156" s="1"/>
  <c r="D128" i="156" s="1"/>
  <c r="B145" i="156"/>
  <c r="B126" i="156"/>
  <c r="B107" i="156"/>
  <c r="B90" i="156"/>
  <c r="B71" i="156"/>
  <c r="B53" i="156"/>
  <c r="B36" i="156"/>
  <c r="B18" i="154" l="1"/>
  <c r="B13" i="11" l="1"/>
</calcChain>
</file>

<file path=xl/sharedStrings.xml><?xml version="1.0" encoding="utf-8"?>
<sst xmlns="http://schemas.openxmlformats.org/spreadsheetml/2006/main" count="167" uniqueCount="77">
  <si>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</si>
  <si>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</si>
  <si>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</si>
  <si>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</si>
  <si>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</si>
  <si>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</si>
  <si>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</si>
  <si>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</si>
  <si>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</si>
  <si>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</si>
  <si>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</si>
  <si>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</si>
  <si>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</si>
  <si>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</si>
  <si>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</si>
  <si>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</si>
  <si>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</si>
  <si>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</si>
  <si>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</si>
  <si>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</si>
  <si>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</si>
  <si>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</si>
  <si>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</si>
  <si>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</si>
  <si>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</si>
  <si>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</si>
  <si>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</si>
  <si>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</si>
  <si>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</si>
  <si>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</si>
  <si>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Max. 15</t>
  </si>
  <si>
    <t>Choix du projet et prise de connaissance du CdC</t>
  </si>
  <si>
    <t>Rédaction ébauche rapport de projet</t>
  </si>
  <si>
    <t>Renseignement sur le bruteforce et le pentesting pour l'authentification</t>
  </si>
  <si>
    <t>Création d'un schéma du fonctionnement du programme.</t>
  </si>
  <si>
    <t>Création d'un schéma représentant la logique du programme sur draw.io. A améliorer.</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</si>
  <si>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</si>
  <si>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</si>
  <si>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</si>
  <si>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</si>
  <si>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</si>
  <si>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</si>
  <si>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</si>
  <si>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</si>
  <si>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</si>
  <si>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</si>
  <si>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Rédaction du rapport de projet</t>
  </si>
  <si>
    <t>Adaptation du schéma</t>
  </si>
  <si>
    <t>Après réflexion et conseils du professeur, le schéma doit être adapté car il n'est pas assez explicite. Tâche en cours.</t>
  </si>
  <si>
    <t>Fin de la rédaction du chapitre Explications du code avec beaucoup de détails sur les différentes parties du code. Tâche terminée.</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</si>
  <si>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 Tâche terminée.</t>
  </si>
  <si>
    <t>Rédaction de la page de garde, des différentes parties demandées, de la table des matières. Tâche terminée.</t>
  </si>
  <si>
    <t>Mise en place d'un serveur FTP avec Docker</t>
  </si>
  <si>
    <t>Connexion FTP depuis Python</t>
  </si>
  <si>
    <t>Bruteforce FTP réel</t>
  </si>
  <si>
    <t xml:space="preserve">Tests </t>
  </si>
  <si>
    <t>Installation de Docker et création du fichier docker-compose.yml, déploiement du serveur FTP local, vérification du serveur FTP via FileZilla, validation que le mot de pas réel fonctionne bien sur FTP. Tâche terminée.</t>
  </si>
  <si>
    <t>Création du script test_ftp.py pour valider une connexion FTP Python -&gt; Docker, tests de connexion FTP (auth OK), intégration d'une fonction de test FTP dans le bruteforce (connexion réelle), sécurisation du script (blocage sur 127.0.0.1 uniquement). Tâche terminée.</t>
  </si>
  <si>
    <t>Modification du script principal pour utiliser le test FTP réel, tests de bruteforce avec wordlist simple, validation de la détection correcte du mot de passe via FTP, mesure du temps et du nombre de tentatives. Tâche terminée.</t>
  </si>
  <si>
    <t>Tests du programme avec des positions différentes du mot de passe dans la wordlist et calcul du temps. D'autres tests à faire afin d'optimiser le programme. Tâche en cours.</t>
  </si>
  <si>
    <t>Maladie.</t>
  </si>
  <si>
    <t>Lecture de plein de pages wikipédia, d'articles sur le sujet trouvés en ligne. Visionnage d'une vidéo pour comprendre les grands principes du pentesting. Demande d'explications à l'IA. Tâche terminée.</t>
  </si>
  <si>
    <t>Jeudi 20.11</t>
  </si>
  <si>
    <t>Max. 18</t>
  </si>
  <si>
    <t>Jeudi 06.11</t>
  </si>
  <si>
    <t>Jeudi 13.11</t>
  </si>
  <si>
    <t>Jeudi 11.12</t>
  </si>
  <si>
    <t>Jeudi 04.12</t>
  </si>
  <si>
    <t>Mise au propre du journal de travail</t>
  </si>
  <si>
    <t>C'est le projet Bruteforce qui a été choisi. Le cahier des charges a été lu et compris. Tâche terminée.</t>
  </si>
  <si>
    <t>Il y avait confusion dans les dates où le projet a été effectué mais tout est juste maintenant. Tâche terminée.</t>
  </si>
  <si>
    <t>Changement dans le rapport de travail: réduction du nombre de page pour s'aligner avec ce qui est demandé dans le cahier des charges. Tâche en cours.</t>
  </si>
  <si>
    <t>Tests</t>
  </si>
  <si>
    <t>Le nouveau code, donné par ChatGPT,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 Tâche terminée.</t>
  </si>
  <si>
    <t>Recherche de documentation en ligne pour les cibles: base de données, site web, etc… Tâche terminée.</t>
  </si>
  <si>
    <t>Rédaction du chapitre Explications du code avec beaucoup de détails sur les différentes parties du code. Tâche terminée.</t>
  </si>
  <si>
    <t>Adaptation du schéma pour qu'il soit plus facile à comprendre lorsque l'on a pas encore vu le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</si>
</sst>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5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dashed">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n">
        <color indexed="64"/>
      </top>
      <bottom style="thin">
        <color indexed="64"/>
      </bottom>
      <diagonal/>
    </border>
    <border>
      <left/>
      <right/>
      <top style="dashed">
        <color indexed="64"/>
      </top>
      <bottom style="dashed">
        <color indexed="64"/>
      </bottom>
      <diagonal/>
    </border>
    <border>
      <left/>
      <right/>
      <top style="dashed">
        <color indexed="64"/>
      </top>
      <bottom/>
      <diagonal/>
    </border>
    <border>
      <left/>
      <right/>
      <top style="dashed">
        <color indexed="64"/>
      </top>
      <bottom style="medium">
        <color indexed="64"/>
      </bottom>
      <diagonal/>
    </border>
    <border>
      <left/>
      <right/>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5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8" fillId="0" borderId="20" xfId="1" applyFont="1" applyFill="1" applyBorder="1" applyAlignment="1" applyProtection="1">
      <alignment horizontal="center" vertical="center" wrapText="1"/>
      <protection locked="0"/>
    </xf>
    <xf numFmtId="0" fontId="8" fillId="0" borderId="34" xfId="1" applyFont="1" applyFill="1" applyBorder="1" applyAlignment="1" applyProtection="1">
      <alignment horizontal="center" vertical="center" wrapText="1"/>
      <protection locked="0"/>
    </xf>
    <xf numFmtId="0" fontId="8" fillId="0" borderId="34" xfId="0" applyFont="1" applyBorder="1" applyAlignment="1" applyProtection="1">
      <alignment horizontal="center" vertical="center" wrapText="1"/>
      <protection locked="0"/>
    </xf>
    <xf numFmtId="0" fontId="0" fillId="0" borderId="34" xfId="0" applyBorder="1" applyAlignment="1" applyProtection="1">
      <alignment horizontal="left" vertical="top" wrapText="1"/>
      <protection locked="0"/>
    </xf>
    <xf numFmtId="0" fontId="1" fillId="0" borderId="34" xfId="1" applyBorder="1" applyAlignment="1" applyProtection="1">
      <alignment horizontal="left" vertical="top" wrapText="1"/>
      <protection locked="0"/>
    </xf>
    <xf numFmtId="0" fontId="8" fillId="0" borderId="15" xfId="1" applyFont="1" applyFill="1" applyBorder="1" applyAlignment="1" applyProtection="1">
      <alignment horizontal="center" vertical="center" wrapText="1"/>
      <protection locked="0"/>
    </xf>
    <xf numFmtId="0" fontId="11" fillId="9" borderId="15" xfId="0" applyFont="1" applyFill="1" applyBorder="1" applyAlignment="1">
      <alignment horizontal="center" vertical="center" wrapText="1"/>
    </xf>
    <xf numFmtId="0" fontId="6" fillId="9" borderId="15" xfId="0" applyFont="1" applyFill="1" applyBorder="1" applyAlignment="1">
      <alignment horizontal="center" vertical="center"/>
    </xf>
    <xf numFmtId="0" fontId="8" fillId="0" borderId="34" xfId="0" applyFont="1" applyBorder="1" applyAlignment="1" applyProtection="1">
      <alignment horizontal="left" vertical="top" wrapText="1"/>
      <protection locked="0"/>
    </xf>
    <xf numFmtId="0" fontId="10" fillId="9" borderId="35" xfId="0" applyFont="1" applyFill="1" applyBorder="1" applyAlignment="1">
      <alignment horizontal="center" vertical="center" wrapText="1"/>
    </xf>
    <xf numFmtId="0" fontId="0" fillId="9" borderId="35" xfId="0" applyFill="1" applyBorder="1" applyAlignment="1">
      <alignment horizontal="left" vertical="center" wrapText="1"/>
    </xf>
    <xf numFmtId="0" fontId="8" fillId="0" borderId="37" xfId="1" applyFont="1" applyFill="1" applyBorder="1" applyAlignment="1" applyProtection="1">
      <alignment horizontal="center" vertical="center" wrapText="1"/>
      <protection locked="0"/>
    </xf>
    <xf numFmtId="0" fontId="10" fillId="9" borderId="19" xfId="0" applyFont="1" applyFill="1" applyBorder="1" applyAlignment="1">
      <alignment horizontal="center" vertical="center" wrapText="1"/>
    </xf>
    <xf numFmtId="0" fontId="0" fillId="9" borderId="19" xfId="0" applyFill="1" applyBorder="1" applyAlignment="1">
      <alignment horizontal="left" vertical="center" wrapText="1"/>
    </xf>
    <xf numFmtId="0" fontId="6" fillId="9" borderId="38" xfId="0" applyFont="1" applyFill="1" applyBorder="1" applyAlignment="1">
      <alignment horizontal="center" vertical="center"/>
    </xf>
    <xf numFmtId="0" fontId="8" fillId="0" borderId="39" xfId="1" applyFont="1" applyFill="1" applyBorder="1" applyAlignment="1" applyProtection="1">
      <alignment horizontal="center" vertical="center" wrapText="1"/>
      <protection locked="0"/>
    </xf>
    <xf numFmtId="0" fontId="10" fillId="9" borderId="40" xfId="0" applyFont="1" applyFill="1" applyBorder="1" applyAlignment="1">
      <alignment horizontal="center" vertical="center" wrapText="1"/>
    </xf>
    <xf numFmtId="0" fontId="0" fillId="9" borderId="40" xfId="0" applyFill="1" applyBorder="1" applyAlignment="1">
      <alignment horizontal="left" vertical="center" wrapText="1"/>
    </xf>
    <xf numFmtId="0" fontId="6" fillId="9" borderId="41" xfId="0" applyFont="1" applyFill="1" applyBorder="1" applyAlignment="1">
      <alignment horizontal="center" vertical="center"/>
    </xf>
    <xf numFmtId="0" fontId="6" fillId="12" borderId="20" xfId="0" applyFont="1" applyFill="1" applyBorder="1" applyAlignment="1">
      <alignment horizontal="center" vertical="center"/>
    </xf>
    <xf numFmtId="0" fontId="11" fillId="12" borderId="20" xfId="0" applyFont="1" applyFill="1" applyBorder="1" applyAlignment="1">
      <alignment horizontal="center" vertical="center" wrapText="1"/>
    </xf>
    <xf numFmtId="0" fontId="11" fillId="9" borderId="40" xfId="0" applyFont="1" applyFill="1" applyBorder="1" applyAlignment="1">
      <alignment horizontal="center" vertical="center" wrapText="1"/>
    </xf>
    <xf numFmtId="0" fontId="6" fillId="9" borderId="40" xfId="0" applyFont="1" applyFill="1" applyBorder="1" applyAlignment="1">
      <alignment horizontal="center" vertical="center"/>
    </xf>
    <xf numFmtId="0" fontId="6" fillId="9" borderId="35" xfId="0" applyFont="1" applyFill="1" applyBorder="1" applyAlignment="1">
      <alignment horizontal="center" vertical="center"/>
    </xf>
    <xf numFmtId="0" fontId="8" fillId="0" borderId="42" xfId="1" applyFont="1" applyFill="1" applyBorder="1" applyAlignment="1" applyProtection="1">
      <alignment horizontal="center" vertical="center" wrapText="1"/>
      <protection locked="0"/>
    </xf>
    <xf numFmtId="0" fontId="6" fillId="12" borderId="6" xfId="0" applyFont="1" applyFill="1" applyBorder="1" applyAlignment="1">
      <alignment horizontal="center" vertical="center"/>
    </xf>
    <xf numFmtId="0" fontId="8" fillId="0" borderId="43" xfId="1" applyFont="1" applyFill="1" applyBorder="1" applyAlignment="1" applyProtection="1">
      <alignment horizontal="center" vertical="center" wrapText="1"/>
      <protection locked="0"/>
    </xf>
    <xf numFmtId="0" fontId="8" fillId="0" borderId="24" xfId="1" applyFont="1" applyFill="1" applyBorder="1" applyAlignment="1" applyProtection="1">
      <alignment horizontal="center" vertical="center" wrapText="1"/>
      <protection locked="0"/>
    </xf>
    <xf numFmtId="0" fontId="8" fillId="0" borderId="17" xfId="1" applyFont="1" applyFill="1" applyBorder="1" applyAlignment="1" applyProtection="1">
      <alignment horizontal="center" vertical="center" wrapText="1"/>
      <protection locked="0"/>
    </xf>
    <xf numFmtId="0" fontId="8" fillId="0" borderId="17"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8" fillId="12" borderId="14" xfId="0" applyFont="1" applyFill="1" applyBorder="1" applyAlignment="1">
      <alignment horizontal="center" vertical="center" wrapText="1"/>
    </xf>
    <xf numFmtId="0" fontId="7" fillId="13" borderId="4" xfId="0" quotePrefix="1" applyFont="1" applyFill="1" applyBorder="1" applyAlignment="1">
      <alignment horizontal="centerContinuous" vertical="center"/>
    </xf>
    <xf numFmtId="0" fontId="11" fillId="12" borderId="36" xfId="0" applyFont="1" applyFill="1" applyBorder="1" applyAlignment="1">
      <alignment horizontal="center" vertical="center" wrapText="1"/>
    </xf>
    <xf numFmtId="0" fontId="8" fillId="0" borderId="40" xfId="0" applyFont="1" applyBorder="1" applyAlignment="1" applyProtection="1">
      <alignment horizontal="center" vertical="center" wrapText="1"/>
      <protection locked="0"/>
    </xf>
    <xf numFmtId="0" fontId="8" fillId="12" borderId="45" xfId="0" applyFont="1" applyFill="1" applyBorder="1" applyAlignment="1">
      <alignment horizontal="center" vertical="center" wrapText="1"/>
    </xf>
    <xf numFmtId="0" fontId="8" fillId="0" borderId="46" xfId="1" applyFont="1" applyFill="1" applyBorder="1" applyAlignment="1" applyProtection="1">
      <alignment horizontal="center" vertical="center" wrapText="1"/>
      <protection locked="0"/>
    </xf>
    <xf numFmtId="0" fontId="0" fillId="9" borderId="4" xfId="0" applyFill="1" applyBorder="1" applyAlignment="1">
      <alignment horizontal="left" vertical="center" wrapText="1"/>
    </xf>
    <xf numFmtId="0" fontId="6" fillId="12" borderId="4" xfId="0" applyFont="1" applyFill="1" applyBorder="1" applyAlignment="1">
      <alignment horizontal="center" vertical="center"/>
    </xf>
    <xf numFmtId="0" fontId="0" fillId="9" borderId="47" xfId="0" applyFill="1" applyBorder="1" applyAlignment="1">
      <alignment horizontal="left" vertical="center" wrapText="1"/>
    </xf>
    <xf numFmtId="0" fontId="6" fillId="9" borderId="0" xfId="0" applyFont="1" applyFill="1" applyBorder="1" applyAlignment="1">
      <alignment horizontal="center" vertical="center"/>
    </xf>
    <xf numFmtId="0" fontId="0" fillId="0" borderId="48" xfId="0" applyFont="1" applyBorder="1" applyAlignment="1" applyProtection="1">
      <alignment horizontal="left" vertical="top" wrapText="1"/>
      <protection locked="0"/>
    </xf>
    <xf numFmtId="0" fontId="8" fillId="0" borderId="48" xfId="0" applyFont="1" applyBorder="1" applyAlignment="1" applyProtection="1">
      <alignment horizontal="left" vertical="top" wrapText="1"/>
      <protection locked="0"/>
    </xf>
    <xf numFmtId="0" fontId="8" fillId="0" borderId="49" xfId="0" applyFont="1" applyBorder="1" applyAlignment="1" applyProtection="1">
      <alignment horizontal="left" vertical="top" wrapText="1"/>
      <protection locked="0"/>
    </xf>
    <xf numFmtId="0" fontId="8" fillId="0" borderId="50" xfId="0" applyFont="1" applyBorder="1" applyAlignment="1" applyProtection="1">
      <alignment horizontal="left" vertical="top" wrapText="1"/>
      <protection locked="0"/>
    </xf>
    <xf numFmtId="0" fontId="9" fillId="12" borderId="12" xfId="0" applyFont="1" applyFill="1" applyBorder="1" applyAlignment="1">
      <alignment horizontal="left" vertical="top" wrapText="1"/>
    </xf>
    <xf numFmtId="164" fontId="7" fillId="13" borderId="7" xfId="0" applyNumberFormat="1" applyFont="1" applyFill="1" applyBorder="1" applyAlignment="1" applyProtection="1">
      <alignment horizontal="left" vertical="center"/>
      <protection locked="0"/>
    </xf>
    <xf numFmtId="0" fontId="8" fillId="12" borderId="15" xfId="0" applyFont="1" applyFill="1" applyBorder="1" applyAlignment="1">
      <alignment horizontal="left" vertical="top" wrapText="1"/>
    </xf>
    <xf numFmtId="0" fontId="0" fillId="9" borderId="51" xfId="0" applyFill="1" applyBorder="1" applyAlignment="1">
      <alignment horizontal="left"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G54"/>
  <sheetViews>
    <sheetView view="pageBreakPreview" topLeftCell="A16" zoomScaleNormal="100" zoomScaleSheetLayoutView="100" workbookViewId="0">
      <selection activeCell="C31" sqref="C31"/>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46" t="s">
        <v>19</v>
      </c>
      <c r="C19" s="147"/>
      <c r="D19" s="59"/>
      <c r="E19" s="59"/>
      <c r="F19" s="59"/>
      <c r="G19" s="60"/>
    </row>
    <row r="20" spans="1:7" ht="20.25" x14ac:dyDescent="0.25">
      <c r="A20" s="78"/>
      <c r="B20" s="79" t="s">
        <v>20</v>
      </c>
      <c r="C20" s="80" t="s">
        <v>21</v>
      </c>
      <c r="D20" s="59"/>
      <c r="E20" s="59"/>
      <c r="F20" s="59"/>
      <c r="G20" s="60"/>
    </row>
    <row r="21" spans="1:7" ht="20.25" x14ac:dyDescent="0.25">
      <c r="A21" s="78"/>
      <c r="B21" s="79">
        <v>1</v>
      </c>
      <c r="C21" s="69" t="s">
        <v>31</v>
      </c>
      <c r="D21" s="59"/>
      <c r="E21" s="59"/>
      <c r="F21" s="59"/>
      <c r="G21" s="60"/>
    </row>
    <row r="22" spans="1:7" ht="20.25" x14ac:dyDescent="0.25">
      <c r="A22" s="78"/>
      <c r="B22" s="79">
        <v>2</v>
      </c>
      <c r="C22" s="70" t="s">
        <v>32</v>
      </c>
      <c r="D22" s="59"/>
      <c r="E22" s="59"/>
      <c r="F22" s="59"/>
      <c r="G22" s="60"/>
    </row>
    <row r="23" spans="1:7" ht="20.25" x14ac:dyDescent="0.25">
      <c r="A23" s="78"/>
      <c r="B23" s="81">
        <v>3</v>
      </c>
      <c r="C23" s="70" t="s">
        <v>33</v>
      </c>
      <c r="D23" s="59"/>
      <c r="E23" s="59"/>
      <c r="F23" s="59"/>
      <c r="G23" s="60"/>
    </row>
    <row r="24" spans="1:7" ht="20.25" x14ac:dyDescent="0.25">
      <c r="A24" s="78"/>
      <c r="B24" s="79">
        <v>4</v>
      </c>
      <c r="C24" s="70" t="s">
        <v>34</v>
      </c>
      <c r="D24" s="59"/>
      <c r="E24" s="59"/>
      <c r="F24" s="59"/>
      <c r="G24" s="60"/>
    </row>
    <row r="25" spans="1:7" ht="20.25" x14ac:dyDescent="0.25">
      <c r="A25" s="78"/>
      <c r="B25" s="79">
        <v>5</v>
      </c>
      <c r="C25" s="70" t="s">
        <v>37</v>
      </c>
      <c r="D25" s="59"/>
      <c r="E25" s="59"/>
      <c r="F25" s="59"/>
      <c r="G25" s="60"/>
    </row>
    <row r="26" spans="1:7" ht="20.25" x14ac:dyDescent="0.25">
      <c r="A26" s="78"/>
      <c r="B26" s="81">
        <v>6</v>
      </c>
      <c r="C26" s="70" t="s">
        <v>40</v>
      </c>
      <c r="D26" s="59"/>
      <c r="E26" s="59"/>
      <c r="F26" s="59"/>
      <c r="G26" s="60"/>
    </row>
    <row r="27" spans="1:7" ht="20.25" x14ac:dyDescent="0.25">
      <c r="A27" s="78"/>
      <c r="B27" s="79">
        <v>7</v>
      </c>
      <c r="C27" s="70" t="s">
        <v>41</v>
      </c>
      <c r="D27" s="59"/>
      <c r="E27" s="59"/>
      <c r="F27" s="59"/>
      <c r="G27" s="60"/>
    </row>
    <row r="28" spans="1:7" ht="20.25" x14ac:dyDescent="0.25">
      <c r="A28" s="78"/>
      <c r="B28" s="79">
        <v>8</v>
      </c>
      <c r="C28" s="71" t="s">
        <v>42</v>
      </c>
      <c r="D28" s="59"/>
      <c r="E28" s="59"/>
      <c r="F28" s="59"/>
      <c r="G28" s="60"/>
    </row>
    <row r="29" spans="1:7" ht="20.25" x14ac:dyDescent="0.25">
      <c r="A29" s="78"/>
      <c r="B29" s="81">
        <v>9</v>
      </c>
      <c r="C29" s="71" t="s">
        <v>44</v>
      </c>
      <c r="D29" s="59"/>
      <c r="E29" s="59"/>
      <c r="F29" s="59"/>
      <c r="G29" s="60"/>
    </row>
    <row r="30" spans="1:7" ht="20.25" x14ac:dyDescent="0.25">
      <c r="A30" s="78"/>
      <c r="B30" s="79">
        <v>10</v>
      </c>
      <c r="C30" s="70" t="s">
        <v>46</v>
      </c>
      <c r="D30" s="59"/>
      <c r="E30" s="59"/>
      <c r="F30" s="59"/>
      <c r="G30" s="60"/>
    </row>
    <row r="31" spans="1:7" ht="20.25" x14ac:dyDescent="0.25">
      <c r="A31" s="78"/>
      <c r="B31" s="79">
        <v>11</v>
      </c>
      <c r="C31" s="70" t="s">
        <v>47</v>
      </c>
      <c r="D31" s="59"/>
      <c r="E31" s="59"/>
      <c r="F31" s="59"/>
      <c r="G31" s="60"/>
    </row>
    <row r="32" spans="1:7" ht="20.25" x14ac:dyDescent="0.25">
      <c r="A32" s="78"/>
      <c r="B32" s="81">
        <v>12</v>
      </c>
      <c r="C32" s="70" t="s">
        <v>52</v>
      </c>
      <c r="D32" s="59"/>
      <c r="E32" s="59"/>
      <c r="F32" s="59"/>
      <c r="G32" s="60"/>
    </row>
    <row r="33" spans="1:7" ht="20.25" x14ac:dyDescent="0.25">
      <c r="A33" s="78"/>
      <c r="B33" s="79">
        <v>13</v>
      </c>
      <c r="C33" s="70" t="s">
        <v>53</v>
      </c>
      <c r="D33" s="59"/>
      <c r="E33" s="59"/>
      <c r="F33" s="59"/>
      <c r="G33" s="60"/>
    </row>
    <row r="34" spans="1:7" ht="20.25" x14ac:dyDescent="0.25">
      <c r="A34" s="78"/>
      <c r="B34" s="79">
        <v>14</v>
      </c>
      <c r="C34" s="71" t="s">
        <v>54</v>
      </c>
      <c r="D34" s="59"/>
      <c r="E34" s="59"/>
      <c r="F34" s="59"/>
      <c r="G34" s="60"/>
    </row>
    <row r="35" spans="1:7" ht="20.25" x14ac:dyDescent="0.25">
      <c r="A35" s="78"/>
      <c r="B35" s="81">
        <v>15</v>
      </c>
      <c r="C35" s="70" t="s">
        <v>72</v>
      </c>
      <c r="D35" s="59"/>
      <c r="E35" s="59"/>
      <c r="F35" s="59"/>
      <c r="G35" s="60"/>
    </row>
    <row r="36" spans="1:7" ht="20.25" x14ac:dyDescent="0.25">
      <c r="A36" s="78"/>
      <c r="B36" s="79">
        <v>16</v>
      </c>
      <c r="C36" s="70" t="s">
        <v>68</v>
      </c>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0"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48" t="s">
        <v>21</v>
      </c>
      <c r="C3" s="16">
        <v>0</v>
      </c>
    </row>
    <row r="4" spans="1:4" ht="19.5" customHeight="1" x14ac:dyDescent="0.25">
      <c r="A4" s="19"/>
      <c r="B4" s="14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47"/>
  <sheetViews>
    <sheetView tabSelected="1" topLeftCell="A79" workbookViewId="0">
      <selection activeCell="C99" sqref="C99"/>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115" t="s">
        <v>3</v>
      </c>
      <c r="B2" s="116" t="s">
        <v>15</v>
      </c>
      <c r="C2" s="115" t="s">
        <v>7</v>
      </c>
      <c r="D2" s="115" t="s">
        <v>13</v>
      </c>
    </row>
    <row r="3" spans="1:4" ht="15.75" thickBot="1" x14ac:dyDescent="0.3">
      <c r="A3" s="101"/>
      <c r="B3" s="102"/>
      <c r="C3" s="103" t="s">
        <v>64</v>
      </c>
      <c r="D3" s="103"/>
    </row>
    <row r="4" spans="1:4" s="52" customFormat="1" x14ac:dyDescent="0.25">
      <c r="A4" s="97" t="s">
        <v>21</v>
      </c>
      <c r="B4" s="98">
        <v>9</v>
      </c>
      <c r="C4" s="99" t="s">
        <v>60</v>
      </c>
      <c r="D4" s="100"/>
    </row>
    <row r="5" spans="1:4" s="52" customFormat="1" x14ac:dyDescent="0.25">
      <c r="A5" s="1"/>
      <c r="B5" s="2"/>
      <c r="C5" s="89"/>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2"/>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50"/>
      <c r="B14" s="50"/>
      <c r="C14" s="51"/>
      <c r="D14" s="51"/>
    </row>
    <row r="15" spans="1:4" s="52" customFormat="1" x14ac:dyDescent="0.25">
      <c r="A15" s="50"/>
      <c r="B15" s="50"/>
      <c r="C15" s="51"/>
      <c r="D15" s="51"/>
    </row>
    <row r="16" spans="1:4" s="52" customFormat="1" ht="14.25" thickBot="1" x14ac:dyDescent="0.3">
      <c r="A16" s="3"/>
      <c r="B16" s="3"/>
      <c r="C16" s="11"/>
      <c r="D16" s="11"/>
    </row>
    <row r="17" spans="1:8" ht="14.25" thickBot="1" x14ac:dyDescent="0.3">
      <c r="A17" s="47" t="s">
        <v>22</v>
      </c>
      <c r="B17" s="47">
        <f>SUM(B3:B16)</f>
        <v>9</v>
      </c>
      <c r="C17" s="87" t="s">
        <v>28</v>
      </c>
      <c r="D17" s="48"/>
    </row>
    <row r="18" spans="1:8" ht="15" thickBot="1" x14ac:dyDescent="0.35">
      <c r="A18" s="49"/>
      <c r="B18" s="49"/>
      <c r="C18" s="49"/>
      <c r="D18" s="49"/>
    </row>
    <row r="19" spans="1:8" ht="18.75" thickBot="1" x14ac:dyDescent="0.3">
      <c r="A19" s="42" t="s">
        <v>14</v>
      </c>
      <c r="B19" s="43">
        <v>2</v>
      </c>
      <c r="C19" s="44" t="s">
        <v>23</v>
      </c>
      <c r="D19" s="53">
        <f>$D$1+7</f>
        <v>45971</v>
      </c>
    </row>
    <row r="20" spans="1:8" ht="27.75" thickBot="1" x14ac:dyDescent="0.3">
      <c r="A20" s="45" t="s">
        <v>3</v>
      </c>
      <c r="B20" s="46" t="s">
        <v>15</v>
      </c>
      <c r="C20" s="45" t="s">
        <v>7</v>
      </c>
      <c r="D20" s="45" t="s">
        <v>13</v>
      </c>
    </row>
    <row r="21" spans="1:8" ht="15" x14ac:dyDescent="0.25">
      <c r="A21" s="96"/>
      <c r="B21" s="95"/>
      <c r="C21" s="94" t="s">
        <v>65</v>
      </c>
      <c r="D21" s="94"/>
    </row>
    <row r="22" spans="1:8" ht="15" x14ac:dyDescent="0.25">
      <c r="A22" s="111"/>
      <c r="B22" s="112"/>
      <c r="C22" s="113"/>
      <c r="D22" s="114"/>
    </row>
    <row r="23" spans="1:8" ht="15" x14ac:dyDescent="0.25">
      <c r="A23" s="107"/>
      <c r="B23" s="108"/>
      <c r="C23" s="109"/>
      <c r="D23" s="110"/>
    </row>
    <row r="24" spans="1:8" ht="14.25" x14ac:dyDescent="0.25">
      <c r="A24" s="97"/>
      <c r="B24" s="105"/>
      <c r="C24" s="106"/>
      <c r="D24" s="106"/>
    </row>
    <row r="25" spans="1:8" ht="15" x14ac:dyDescent="0.25">
      <c r="A25" s="1"/>
      <c r="B25" s="2"/>
      <c r="C25" s="93"/>
      <c r="D25" s="10"/>
      <c r="F25" s="34"/>
      <c r="G25" s="30"/>
      <c r="H25" s="30"/>
    </row>
    <row r="26" spans="1:8" x14ac:dyDescent="0.25">
      <c r="A26" s="1"/>
      <c r="B26" s="2"/>
      <c r="C26" s="93"/>
      <c r="D26" s="10"/>
      <c r="F26" s="36"/>
      <c r="G26" s="37"/>
      <c r="H26" s="37"/>
    </row>
    <row r="27" spans="1:8" x14ac:dyDescent="0.25">
      <c r="A27" s="1"/>
      <c r="B27" s="2"/>
      <c r="C27" s="10"/>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2"/>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50"/>
      <c r="B33" s="50"/>
      <c r="C33" s="51"/>
      <c r="D33" s="51"/>
      <c r="F33" s="36"/>
      <c r="G33" s="37"/>
      <c r="H33" s="37"/>
    </row>
    <row r="34" spans="1:8" x14ac:dyDescent="0.25">
      <c r="A34" s="50"/>
      <c r="B34" s="50"/>
      <c r="C34" s="51"/>
      <c r="D34" s="51"/>
      <c r="F34" s="38"/>
      <c r="G34" s="39"/>
      <c r="H34" s="39"/>
    </row>
    <row r="35" spans="1:8" ht="15" thickBot="1" x14ac:dyDescent="0.35">
      <c r="A35" s="3"/>
      <c r="B35" s="3"/>
      <c r="C35" s="11"/>
      <c r="D35" s="11"/>
      <c r="F35" s="40"/>
      <c r="G35" s="40"/>
      <c r="H35" s="40"/>
    </row>
    <row r="36" spans="1:8" ht="14.25" thickBot="1" x14ac:dyDescent="0.3">
      <c r="A36" s="47" t="s">
        <v>22</v>
      </c>
      <c r="B36" s="47">
        <f>SUM(B22:B35)</f>
        <v>0</v>
      </c>
      <c r="C36" s="87" t="s">
        <v>28</v>
      </c>
      <c r="D36" s="48"/>
    </row>
    <row r="37" spans="1:8" ht="15" thickBot="1" x14ac:dyDescent="0.35">
      <c r="A37" s="49"/>
      <c r="B37" s="49"/>
      <c r="C37" s="49"/>
      <c r="D37" s="49"/>
    </row>
    <row r="38" spans="1:8" ht="18.75" thickBot="1" x14ac:dyDescent="0.3">
      <c r="A38" s="42" t="s">
        <v>14</v>
      </c>
      <c r="B38" s="129">
        <v>3</v>
      </c>
      <c r="C38" s="44" t="s">
        <v>23</v>
      </c>
      <c r="D38" s="143">
        <f>$D$19+7</f>
        <v>45978</v>
      </c>
    </row>
    <row r="39" spans="1:8" ht="27.75" thickBot="1" x14ac:dyDescent="0.3">
      <c r="A39" s="121" t="s">
        <v>3</v>
      </c>
      <c r="B39" s="130" t="s">
        <v>15</v>
      </c>
      <c r="C39" s="135" t="s">
        <v>7</v>
      </c>
      <c r="D39" s="115" t="s">
        <v>13</v>
      </c>
    </row>
    <row r="40" spans="1:8" ht="54" x14ac:dyDescent="0.25">
      <c r="A40" s="122" t="s">
        <v>31</v>
      </c>
      <c r="B40" s="112">
        <v>2</v>
      </c>
      <c r="C40" s="134" t="s">
        <v>69</v>
      </c>
      <c r="D40" s="118"/>
    </row>
    <row r="41" spans="1:8" ht="27" x14ac:dyDescent="0.25">
      <c r="A41" s="120" t="s">
        <v>32</v>
      </c>
      <c r="B41" s="112">
        <v>1</v>
      </c>
      <c r="C41" s="136" t="s">
        <v>51</v>
      </c>
      <c r="D41" s="119"/>
    </row>
    <row r="42" spans="1:8" ht="162" x14ac:dyDescent="0.25">
      <c r="A42" s="133" t="s">
        <v>33</v>
      </c>
      <c r="B42" s="112">
        <v>5</v>
      </c>
      <c r="C42" s="113" t="s">
        <v>61</v>
      </c>
      <c r="D42" s="113" t="s">
        <v>36</v>
      </c>
    </row>
    <row r="43" spans="1:8" ht="54" x14ac:dyDescent="0.25">
      <c r="A43" s="111" t="s">
        <v>34</v>
      </c>
      <c r="B43" s="112">
        <v>1</v>
      </c>
      <c r="C43" s="145" t="s">
        <v>35</v>
      </c>
      <c r="D43" s="113"/>
    </row>
    <row r="44" spans="1:8" ht="15" x14ac:dyDescent="0.25">
      <c r="A44" s="123"/>
      <c r="B44" s="117"/>
      <c r="C44" s="137" t="s">
        <v>62</v>
      </c>
      <c r="D44" s="119"/>
    </row>
    <row r="45" spans="1:8" x14ac:dyDescent="0.25">
      <c r="A45" s="124" t="s">
        <v>21</v>
      </c>
      <c r="B45" s="131">
        <v>9</v>
      </c>
      <c r="C45" s="138" t="s">
        <v>60</v>
      </c>
      <c r="D45" s="10"/>
    </row>
    <row r="46" spans="1:8" x14ac:dyDescent="0.25">
      <c r="A46" s="124"/>
      <c r="B46" s="131"/>
      <c r="C46" s="139"/>
      <c r="D46" s="10"/>
    </row>
    <row r="47" spans="1:8" x14ac:dyDescent="0.25">
      <c r="A47" s="125"/>
      <c r="B47" s="131"/>
      <c r="C47" s="139"/>
      <c r="D47" s="10"/>
    </row>
    <row r="48" spans="1:8" x14ac:dyDescent="0.25">
      <c r="A48" s="125"/>
      <c r="B48" s="131"/>
      <c r="C48" s="139"/>
      <c r="D48" s="10"/>
    </row>
    <row r="49" spans="1:4" x14ac:dyDescent="0.25">
      <c r="A49" s="125"/>
      <c r="B49" s="131"/>
      <c r="C49" s="139"/>
      <c r="D49" s="10"/>
    </row>
    <row r="50" spans="1:4" x14ac:dyDescent="0.25">
      <c r="A50" s="126"/>
      <c r="B50" s="131"/>
      <c r="C50" s="140"/>
      <c r="D50" s="51"/>
    </row>
    <row r="51" spans="1:4" x14ac:dyDescent="0.25">
      <c r="A51" s="126"/>
      <c r="B51" s="131"/>
      <c r="C51" s="140"/>
      <c r="D51" s="51"/>
    </row>
    <row r="52" spans="1:4" ht="14.25" thickBot="1" x14ac:dyDescent="0.3">
      <c r="A52" s="127"/>
      <c r="B52" s="131"/>
      <c r="C52" s="141"/>
      <c r="D52" s="11"/>
    </row>
    <row r="53" spans="1:4" ht="14.25" thickBot="1" x14ac:dyDescent="0.3">
      <c r="A53" s="128" t="s">
        <v>22</v>
      </c>
      <c r="B53" s="132">
        <f>SUM(B40:B52)</f>
        <v>18</v>
      </c>
      <c r="C53" s="142" t="s">
        <v>63</v>
      </c>
      <c r="D53" s="144"/>
    </row>
    <row r="54" spans="1:4" ht="15" thickBot="1" x14ac:dyDescent="0.35">
      <c r="A54" s="49"/>
      <c r="B54" s="49"/>
      <c r="C54" s="49"/>
      <c r="D54" s="49"/>
    </row>
    <row r="55" spans="1:4" ht="18.75" thickBot="1" x14ac:dyDescent="0.3">
      <c r="A55" s="42" t="s">
        <v>14</v>
      </c>
      <c r="B55" s="43">
        <v>4</v>
      </c>
      <c r="C55" s="44" t="s">
        <v>23</v>
      </c>
      <c r="D55" s="53">
        <f>$D$38+7</f>
        <v>45985</v>
      </c>
    </row>
    <row r="56" spans="1:4" ht="27.75" thickBot="1" x14ac:dyDescent="0.3">
      <c r="A56" s="45" t="s">
        <v>3</v>
      </c>
      <c r="B56" s="46" t="s">
        <v>15</v>
      </c>
      <c r="C56" s="45" t="s">
        <v>7</v>
      </c>
      <c r="D56" s="45" t="s">
        <v>13</v>
      </c>
    </row>
    <row r="57" spans="1:4" ht="15.75" thickBot="1" x14ac:dyDescent="0.3">
      <c r="A57" s="5"/>
      <c r="B57" s="95"/>
      <c r="C57" s="103" t="s">
        <v>45</v>
      </c>
      <c r="D57" s="94"/>
    </row>
    <row r="58" spans="1:4" x14ac:dyDescent="0.25">
      <c r="A58" s="5" t="s">
        <v>37</v>
      </c>
      <c r="B58" s="4">
        <v>1</v>
      </c>
      <c r="C58" s="88" t="s">
        <v>38</v>
      </c>
      <c r="D58" s="9" t="s">
        <v>39</v>
      </c>
    </row>
    <row r="59" spans="1:4" ht="54" x14ac:dyDescent="0.25">
      <c r="A59" s="1" t="s">
        <v>40</v>
      </c>
      <c r="B59" s="2">
        <v>1</v>
      </c>
      <c r="C59" s="89" t="s">
        <v>50</v>
      </c>
      <c r="D59" s="10"/>
    </row>
    <row r="60" spans="1:4" ht="94.5" x14ac:dyDescent="0.25">
      <c r="A60" s="1" t="s">
        <v>41</v>
      </c>
      <c r="B60" s="2">
        <v>2</v>
      </c>
      <c r="C60" s="89" t="s">
        <v>73</v>
      </c>
      <c r="D60" s="10"/>
    </row>
    <row r="61" spans="1:4" ht="67.5" x14ac:dyDescent="0.25">
      <c r="A61" s="1" t="s">
        <v>42</v>
      </c>
      <c r="B61" s="2">
        <v>1</v>
      </c>
      <c r="C61" s="89" t="s">
        <v>43</v>
      </c>
      <c r="D61" s="10"/>
    </row>
    <row r="62" spans="1:4" ht="40.5" x14ac:dyDescent="0.25">
      <c r="A62" s="1" t="s">
        <v>44</v>
      </c>
      <c r="B62" s="2">
        <v>2</v>
      </c>
      <c r="C62" s="89" t="s">
        <v>74</v>
      </c>
      <c r="D62" s="10"/>
    </row>
    <row r="63" spans="1:4" ht="27" x14ac:dyDescent="0.25">
      <c r="A63" s="1" t="s">
        <v>46</v>
      </c>
      <c r="B63" s="2">
        <v>2</v>
      </c>
      <c r="C63" s="89" t="s">
        <v>75</v>
      </c>
      <c r="D63" s="10"/>
    </row>
    <row r="64" spans="1:4" x14ac:dyDescent="0.25">
      <c r="A64" s="1"/>
      <c r="B64" s="2"/>
      <c r="C64" s="10"/>
      <c r="D64" s="10"/>
    </row>
    <row r="65" spans="1:4" x14ac:dyDescent="0.25">
      <c r="A65" s="2"/>
      <c r="B65" s="2"/>
      <c r="C65" s="10"/>
      <c r="D65" s="10"/>
    </row>
    <row r="66" spans="1:4" x14ac:dyDescent="0.25">
      <c r="A66" s="2"/>
      <c r="B66" s="2"/>
      <c r="C66" s="10"/>
      <c r="D66" s="10"/>
    </row>
    <row r="67" spans="1:4" x14ac:dyDescent="0.25">
      <c r="A67" s="2"/>
      <c r="B67" s="2"/>
      <c r="C67" s="10"/>
      <c r="D67" s="10"/>
    </row>
    <row r="68" spans="1:4" x14ac:dyDescent="0.25">
      <c r="A68" s="50"/>
      <c r="B68" s="50"/>
      <c r="C68" s="51"/>
      <c r="D68" s="51"/>
    </row>
    <row r="69" spans="1:4" x14ac:dyDescent="0.25">
      <c r="A69" s="50"/>
      <c r="B69" s="50"/>
      <c r="C69" s="51"/>
      <c r="D69" s="51"/>
    </row>
    <row r="70" spans="1:4" ht="14.25" thickBot="1" x14ac:dyDescent="0.3">
      <c r="A70" s="3"/>
      <c r="B70" s="3"/>
      <c r="C70" s="11"/>
      <c r="D70" s="11"/>
    </row>
    <row r="71" spans="1:4" ht="14.25" thickBot="1" x14ac:dyDescent="0.3">
      <c r="A71" s="47" t="s">
        <v>22</v>
      </c>
      <c r="B71" s="47">
        <f>SUM(B57:B70)</f>
        <v>9</v>
      </c>
      <c r="C71" s="87" t="s">
        <v>28</v>
      </c>
      <c r="D71" s="48"/>
    </row>
    <row r="72" spans="1:4" ht="15" thickBot="1" x14ac:dyDescent="0.35">
      <c r="A72" s="49"/>
      <c r="B72" s="49"/>
      <c r="C72" s="49"/>
      <c r="D72" s="49"/>
    </row>
    <row r="73" spans="1:4" ht="18.75" thickBot="1" x14ac:dyDescent="0.3">
      <c r="A73" s="42" t="s">
        <v>14</v>
      </c>
      <c r="B73" s="43">
        <v>5</v>
      </c>
      <c r="C73" s="44" t="s">
        <v>23</v>
      </c>
      <c r="D73" s="53">
        <f>$D$55+7</f>
        <v>45992</v>
      </c>
    </row>
    <row r="74" spans="1:4" ht="27.75" thickBot="1" x14ac:dyDescent="0.3">
      <c r="A74" s="45" t="s">
        <v>3</v>
      </c>
      <c r="B74" s="46" t="s">
        <v>15</v>
      </c>
      <c r="C74" s="45" t="s">
        <v>7</v>
      </c>
      <c r="D74" s="45" t="s">
        <v>13</v>
      </c>
    </row>
    <row r="75" spans="1:4" ht="15.75" thickBot="1" x14ac:dyDescent="0.3">
      <c r="A75" s="5"/>
      <c r="B75" s="95"/>
      <c r="C75" s="103" t="s">
        <v>67</v>
      </c>
      <c r="D75" s="94"/>
    </row>
    <row r="76" spans="1:4" ht="27" x14ac:dyDescent="0.25">
      <c r="A76" s="5" t="s">
        <v>46</v>
      </c>
      <c r="B76" s="4">
        <v>2</v>
      </c>
      <c r="C76" s="99" t="s">
        <v>49</v>
      </c>
      <c r="D76" s="10"/>
    </row>
    <row r="77" spans="1:4" ht="27" x14ac:dyDescent="0.25">
      <c r="A77" s="1" t="s">
        <v>47</v>
      </c>
      <c r="B77" s="2">
        <v>1</v>
      </c>
      <c r="C77" s="89" t="s">
        <v>48</v>
      </c>
      <c r="D77" s="10"/>
    </row>
    <row r="78" spans="1:4" ht="40.5" x14ac:dyDescent="0.25">
      <c r="A78" s="1" t="s">
        <v>52</v>
      </c>
      <c r="B78" s="2">
        <v>1</v>
      </c>
      <c r="C78" s="89" t="s">
        <v>56</v>
      </c>
      <c r="D78" s="10"/>
    </row>
    <row r="79" spans="1:4" ht="54" x14ac:dyDescent="0.25">
      <c r="A79" s="1" t="s">
        <v>53</v>
      </c>
      <c r="B79" s="2">
        <v>2</v>
      </c>
      <c r="C79" s="89" t="s">
        <v>57</v>
      </c>
      <c r="D79" s="10"/>
    </row>
    <row r="80" spans="1:4" ht="40.5" x14ac:dyDescent="0.25">
      <c r="A80" s="1" t="s">
        <v>54</v>
      </c>
      <c r="B80" s="2">
        <v>2</v>
      </c>
      <c r="C80" s="89" t="s">
        <v>58</v>
      </c>
      <c r="D80" s="10"/>
    </row>
    <row r="81" spans="1:4" ht="27" x14ac:dyDescent="0.25">
      <c r="A81" s="1" t="s">
        <v>55</v>
      </c>
      <c r="B81" s="2">
        <v>1</v>
      </c>
      <c r="C81" s="89" t="s">
        <v>59</v>
      </c>
      <c r="D81" s="10"/>
    </row>
    <row r="82" spans="1:4" x14ac:dyDescent="0.25">
      <c r="A82" s="1"/>
      <c r="B82" s="2"/>
      <c r="C82" s="10"/>
      <c r="D82" s="10"/>
    </row>
    <row r="83" spans="1:4" x14ac:dyDescent="0.25">
      <c r="A83" s="1"/>
      <c r="B83" s="2"/>
      <c r="C83" s="10"/>
      <c r="D83" s="10"/>
    </row>
    <row r="84" spans="1:4" x14ac:dyDescent="0.25">
      <c r="A84" s="2"/>
      <c r="B84" s="2"/>
      <c r="C84" s="10"/>
      <c r="D84" s="10"/>
    </row>
    <row r="85" spans="1:4" x14ac:dyDescent="0.25">
      <c r="A85" s="2"/>
      <c r="B85" s="2"/>
      <c r="C85" s="10"/>
      <c r="D85" s="10"/>
    </row>
    <row r="86" spans="1:4" x14ac:dyDescent="0.25">
      <c r="A86" s="2"/>
      <c r="B86" s="2"/>
      <c r="C86" s="10"/>
      <c r="D86" s="10"/>
    </row>
    <row r="87" spans="1:4" x14ac:dyDescent="0.25">
      <c r="A87" s="50"/>
      <c r="B87" s="50"/>
      <c r="C87" s="51"/>
      <c r="D87" s="51"/>
    </row>
    <row r="88" spans="1:4" x14ac:dyDescent="0.25">
      <c r="A88" s="50"/>
      <c r="B88" s="50"/>
      <c r="C88" s="51"/>
      <c r="D88" s="51"/>
    </row>
    <row r="89" spans="1:4" ht="14.25" thickBot="1" x14ac:dyDescent="0.3">
      <c r="A89" s="3"/>
      <c r="B89" s="3"/>
      <c r="C89" s="11"/>
      <c r="D89" s="11"/>
    </row>
    <row r="90" spans="1:4" ht="14.25" thickBot="1" x14ac:dyDescent="0.3">
      <c r="A90" s="47" t="s">
        <v>22</v>
      </c>
      <c r="B90" s="47">
        <f>SUM(B75:B89)</f>
        <v>9</v>
      </c>
      <c r="C90" s="87" t="s">
        <v>28</v>
      </c>
      <c r="D90" s="48"/>
    </row>
    <row r="91" spans="1:4" ht="15" thickBot="1" x14ac:dyDescent="0.35">
      <c r="A91" s="49"/>
      <c r="B91" s="49"/>
      <c r="C91" s="49"/>
      <c r="D91" s="49"/>
    </row>
    <row r="92" spans="1:4" ht="18.75" thickBot="1" x14ac:dyDescent="0.3">
      <c r="A92" s="42" t="s">
        <v>14</v>
      </c>
      <c r="B92" s="43">
        <v>6</v>
      </c>
      <c r="C92" s="44" t="s">
        <v>23</v>
      </c>
      <c r="D92" s="53">
        <f>$D$73+7</f>
        <v>45999</v>
      </c>
    </row>
    <row r="93" spans="1:4" ht="27.75" thickBot="1" x14ac:dyDescent="0.3">
      <c r="A93" s="45" t="s">
        <v>3</v>
      </c>
      <c r="B93" s="46" t="s">
        <v>15</v>
      </c>
      <c r="C93" s="45" t="s">
        <v>7</v>
      </c>
      <c r="D93" s="45" t="s">
        <v>13</v>
      </c>
    </row>
    <row r="94" spans="1:4" ht="15.75" thickBot="1" x14ac:dyDescent="0.3">
      <c r="A94" s="101"/>
      <c r="B94" s="102"/>
      <c r="C94" s="103" t="s">
        <v>66</v>
      </c>
      <c r="D94" s="103"/>
    </row>
    <row r="95" spans="1:4" ht="27" x14ac:dyDescent="0.25">
      <c r="A95" s="97" t="s">
        <v>68</v>
      </c>
      <c r="B95" s="98">
        <v>3</v>
      </c>
      <c r="C95" s="89" t="s">
        <v>70</v>
      </c>
      <c r="D95" s="104"/>
    </row>
    <row r="96" spans="1:4" ht="27" x14ac:dyDescent="0.25">
      <c r="A96" s="1" t="s">
        <v>46</v>
      </c>
      <c r="B96" s="2">
        <v>3</v>
      </c>
      <c r="C96" s="89" t="s">
        <v>71</v>
      </c>
      <c r="D96" s="10"/>
    </row>
    <row r="97" spans="1:4" ht="27" x14ac:dyDescent="0.25">
      <c r="A97" s="1" t="s">
        <v>47</v>
      </c>
      <c r="B97" s="2">
        <v>3</v>
      </c>
      <c r="C97" s="93" t="s">
        <v>76</v>
      </c>
      <c r="D97" s="10"/>
    </row>
    <row r="98" spans="1:4" x14ac:dyDescent="0.25">
      <c r="A98" s="1" t="s">
        <v>72</v>
      </c>
      <c r="B98" s="2"/>
      <c r="C98" s="10"/>
      <c r="D98" s="10"/>
    </row>
    <row r="99" spans="1:4" x14ac:dyDescent="0.25">
      <c r="A99" s="1"/>
      <c r="B99" s="2"/>
      <c r="C99" s="10"/>
      <c r="D99" s="10"/>
    </row>
    <row r="100" spans="1:4" x14ac:dyDescent="0.25">
      <c r="A100" s="1"/>
      <c r="B100" s="2"/>
      <c r="C100" s="10"/>
      <c r="D100" s="10"/>
    </row>
    <row r="101" spans="1:4" x14ac:dyDescent="0.25">
      <c r="A101" s="2"/>
      <c r="B101" s="2"/>
      <c r="C101" s="10"/>
      <c r="D101" s="10"/>
    </row>
    <row r="102" spans="1:4" x14ac:dyDescent="0.25">
      <c r="A102" s="2"/>
      <c r="B102" s="2"/>
      <c r="C102" s="10"/>
      <c r="D102" s="10"/>
    </row>
    <row r="103" spans="1:4" x14ac:dyDescent="0.25">
      <c r="A103" s="2"/>
      <c r="B103" s="2"/>
      <c r="C103" s="10"/>
      <c r="D103" s="10"/>
    </row>
    <row r="104" spans="1:4" x14ac:dyDescent="0.25">
      <c r="A104" s="50"/>
      <c r="B104" s="50"/>
      <c r="C104" s="51"/>
      <c r="D104" s="51"/>
    </row>
    <row r="105" spans="1:4" x14ac:dyDescent="0.25">
      <c r="A105" s="50"/>
      <c r="B105" s="50"/>
      <c r="C105" s="51"/>
      <c r="D105" s="51"/>
    </row>
    <row r="106" spans="1:4" ht="14.25" thickBot="1" x14ac:dyDescent="0.3">
      <c r="A106" s="3"/>
      <c r="B106" s="3"/>
      <c r="C106" s="11"/>
      <c r="D106" s="11"/>
    </row>
    <row r="107" spans="1:4" ht="14.25" thickBot="1" x14ac:dyDescent="0.3">
      <c r="A107" s="47" t="s">
        <v>22</v>
      </c>
      <c r="B107" s="47">
        <f>SUM(B94:B106)</f>
        <v>9</v>
      </c>
      <c r="C107" s="87" t="s">
        <v>28</v>
      </c>
      <c r="D107" s="48"/>
    </row>
    <row r="108" spans="1:4" ht="15" thickBot="1" x14ac:dyDescent="0.35">
      <c r="A108" s="49"/>
      <c r="B108" s="49"/>
      <c r="C108" s="49"/>
      <c r="D108" s="49"/>
    </row>
    <row r="109" spans="1:4" ht="18.75" thickBot="1" x14ac:dyDescent="0.3">
      <c r="A109" s="42" t="s">
        <v>14</v>
      </c>
      <c r="B109" s="43">
        <v>7</v>
      </c>
      <c r="C109" s="44" t="s">
        <v>23</v>
      </c>
      <c r="D109" s="53">
        <f>$D$92+7</f>
        <v>46006</v>
      </c>
    </row>
    <row r="110" spans="1:4" ht="27.75" thickBot="1" x14ac:dyDescent="0.3">
      <c r="A110" s="45" t="s">
        <v>3</v>
      </c>
      <c r="B110" s="46" t="s">
        <v>15</v>
      </c>
      <c r="C110" s="45" t="s">
        <v>7</v>
      </c>
      <c r="D110" s="45" t="s">
        <v>13</v>
      </c>
    </row>
    <row r="111" spans="1:4" x14ac:dyDescent="0.25">
      <c r="A111" s="5"/>
      <c r="B111" s="4"/>
      <c r="C111" s="88"/>
      <c r="D111" s="9"/>
    </row>
    <row r="112" spans="1:4" x14ac:dyDescent="0.25">
      <c r="A112" s="1"/>
      <c r="B112" s="2"/>
      <c r="C112" s="90"/>
      <c r="D112" s="10"/>
    </row>
    <row r="113" spans="1:4" x14ac:dyDescent="0.25">
      <c r="A113" s="1"/>
      <c r="B113" s="2"/>
      <c r="C113" s="89"/>
      <c r="D113" s="91"/>
    </row>
    <row r="114" spans="1:4" x14ac:dyDescent="0.25">
      <c r="A114" s="1"/>
      <c r="B114" s="2"/>
      <c r="C114" s="10"/>
      <c r="D114" s="10"/>
    </row>
    <row r="115" spans="1:4" x14ac:dyDescent="0.25">
      <c r="A115" s="1"/>
      <c r="B115" s="2"/>
      <c r="C115" s="10"/>
      <c r="D115" s="10"/>
    </row>
    <row r="116" spans="1:4" x14ac:dyDescent="0.25">
      <c r="A116" s="1"/>
      <c r="B116" s="2"/>
      <c r="C116" s="10"/>
      <c r="D116" s="10"/>
    </row>
    <row r="117" spans="1:4" x14ac:dyDescent="0.25">
      <c r="A117" s="1"/>
      <c r="B117" s="2"/>
      <c r="C117" s="10"/>
      <c r="D117" s="10"/>
    </row>
    <row r="118" spans="1:4" x14ac:dyDescent="0.25">
      <c r="A118" s="1"/>
      <c r="B118" s="2"/>
      <c r="C118" s="10"/>
      <c r="D118" s="10"/>
    </row>
    <row r="119" spans="1:4" x14ac:dyDescent="0.25">
      <c r="A119" s="1"/>
      <c r="B119" s="2"/>
      <c r="C119" s="10"/>
      <c r="D119" s="10"/>
    </row>
    <row r="120" spans="1:4" x14ac:dyDescent="0.25">
      <c r="A120" s="2"/>
      <c r="B120" s="2"/>
      <c r="C120" s="10"/>
      <c r="D120" s="10"/>
    </row>
    <row r="121" spans="1:4" x14ac:dyDescent="0.25">
      <c r="A121" s="2"/>
      <c r="B121" s="2"/>
      <c r="C121" s="10"/>
      <c r="D121" s="10"/>
    </row>
    <row r="122" spans="1:4" x14ac:dyDescent="0.25">
      <c r="A122" s="2"/>
      <c r="B122" s="2"/>
      <c r="C122" s="10"/>
      <c r="D122" s="10"/>
    </row>
    <row r="123" spans="1:4" x14ac:dyDescent="0.25">
      <c r="A123" s="50"/>
      <c r="B123" s="50"/>
      <c r="C123" s="51"/>
      <c r="D123" s="51"/>
    </row>
    <row r="124" spans="1:4" x14ac:dyDescent="0.25">
      <c r="A124" s="50"/>
      <c r="B124" s="50"/>
      <c r="C124" s="51"/>
      <c r="D124" s="51"/>
    </row>
    <row r="125" spans="1:4" ht="14.25" thickBot="1" x14ac:dyDescent="0.3">
      <c r="A125" s="3"/>
      <c r="B125" s="3"/>
      <c r="C125" s="11"/>
      <c r="D125" s="11"/>
    </row>
    <row r="126" spans="1:4" ht="14.25" thickBot="1" x14ac:dyDescent="0.3">
      <c r="A126" s="47" t="s">
        <v>22</v>
      </c>
      <c r="B126" s="47">
        <f>SUM(B111:B125)</f>
        <v>0</v>
      </c>
      <c r="C126" s="87" t="s">
        <v>30</v>
      </c>
      <c r="D126" s="48"/>
    </row>
    <row r="127" spans="1:4" ht="15" thickBot="1" x14ac:dyDescent="0.35">
      <c r="A127" s="49"/>
      <c r="B127" s="49"/>
      <c r="C127" s="49"/>
      <c r="D127" s="49"/>
    </row>
    <row r="128" spans="1:4" ht="18.75" thickBot="1" x14ac:dyDescent="0.3">
      <c r="A128" s="42" t="s">
        <v>14</v>
      </c>
      <c r="B128" s="43">
        <v>8</v>
      </c>
      <c r="C128" s="44" t="s">
        <v>23</v>
      </c>
      <c r="D128" s="53">
        <f>$D$109+21</f>
        <v>46027</v>
      </c>
    </row>
    <row r="129" spans="1:4" ht="27.75" thickBot="1" x14ac:dyDescent="0.3">
      <c r="A129" s="45" t="s">
        <v>3</v>
      </c>
      <c r="B129" s="46" t="s">
        <v>15</v>
      </c>
      <c r="C129" s="45" t="s">
        <v>7</v>
      </c>
      <c r="D129" s="45" t="s">
        <v>13</v>
      </c>
    </row>
    <row r="130" spans="1:4" x14ac:dyDescent="0.25">
      <c r="A130" s="5"/>
      <c r="B130" s="4"/>
      <c r="C130" s="92"/>
      <c r="D130" s="9"/>
    </row>
    <row r="131" spans="1:4" x14ac:dyDescent="0.25">
      <c r="A131" s="1"/>
      <c r="B131" s="2"/>
      <c r="C131" s="93"/>
      <c r="D131" s="10"/>
    </row>
    <row r="132" spans="1:4" x14ac:dyDescent="0.25">
      <c r="A132" s="1"/>
      <c r="B132" s="2"/>
      <c r="C132" s="10"/>
      <c r="D132" s="10"/>
    </row>
    <row r="133" spans="1:4" x14ac:dyDescent="0.25">
      <c r="A133" s="1"/>
      <c r="B133" s="2"/>
      <c r="C133" s="10"/>
      <c r="D133" s="10"/>
    </row>
    <row r="134" spans="1:4" x14ac:dyDescent="0.25">
      <c r="A134" s="1"/>
      <c r="B134" s="2"/>
      <c r="C134" s="10"/>
      <c r="D134" s="10"/>
    </row>
    <row r="135" spans="1:4" x14ac:dyDescent="0.25">
      <c r="A135" s="1"/>
      <c r="B135" s="2"/>
      <c r="C135" s="10"/>
      <c r="D135" s="10"/>
    </row>
    <row r="136" spans="1:4" x14ac:dyDescent="0.25">
      <c r="A136" s="1"/>
      <c r="B136" s="2"/>
      <c r="C136" s="10"/>
      <c r="D136" s="10"/>
    </row>
    <row r="137" spans="1:4" x14ac:dyDescent="0.25">
      <c r="A137" s="1"/>
      <c r="B137" s="2"/>
      <c r="C137" s="10"/>
      <c r="D137" s="10"/>
    </row>
    <row r="138" spans="1:4" x14ac:dyDescent="0.25">
      <c r="A138" s="1"/>
      <c r="B138" s="2"/>
      <c r="C138" s="10"/>
      <c r="D138" s="10"/>
    </row>
    <row r="139" spans="1:4" x14ac:dyDescent="0.25">
      <c r="A139" s="2"/>
      <c r="B139" s="2"/>
      <c r="C139" s="10"/>
      <c r="D139" s="10"/>
    </row>
    <row r="140" spans="1:4" x14ac:dyDescent="0.25">
      <c r="A140" s="2"/>
      <c r="B140" s="2"/>
      <c r="C140" s="10"/>
      <c r="D140" s="10"/>
    </row>
    <row r="141" spans="1:4" x14ac:dyDescent="0.25">
      <c r="A141" s="2"/>
      <c r="B141" s="2"/>
      <c r="C141" s="10"/>
      <c r="D141" s="10"/>
    </row>
    <row r="142" spans="1:4" x14ac:dyDescent="0.25">
      <c r="A142" s="50"/>
      <c r="B142" s="50"/>
      <c r="C142" s="51"/>
      <c r="D142" s="51"/>
    </row>
    <row r="143" spans="1:4" x14ac:dyDescent="0.25">
      <c r="A143" s="50"/>
      <c r="B143" s="50"/>
      <c r="C143" s="51"/>
      <c r="D143" s="51"/>
    </row>
    <row r="144" spans="1:4" ht="14.25" thickBot="1" x14ac:dyDescent="0.3">
      <c r="A144" s="3"/>
      <c r="B144" s="3"/>
      <c r="C144" s="11"/>
      <c r="D144" s="11"/>
    </row>
    <row r="145" spans="1:4" ht="14.25" thickBot="1" x14ac:dyDescent="0.3">
      <c r="A145" s="47" t="s">
        <v>22</v>
      </c>
      <c r="B145" s="47">
        <f>SUM(B130:B144)</f>
        <v>0</v>
      </c>
      <c r="C145" s="87" t="s">
        <v>28</v>
      </c>
      <c r="D145" s="48"/>
    </row>
    <row r="146" spans="1:4" ht="14.25" x14ac:dyDescent="0.3">
      <c r="A146" s="49"/>
      <c r="B146" s="49"/>
      <c r="C146" s="49"/>
      <c r="D146" s="49"/>
    </row>
    <row r="147" spans="1:4" x14ac:dyDescent="0.25">
      <c r="A147"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4"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6:F33 B45:B52 B4:B16 B76:B89 B111:B125 B130:B144 B25:B35 B58:B70 B95:B106"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7 B36 B53 B71 B90 B107 B126 B145" xr:uid="{C02FA86D-12F2-40ED-8F5D-F7684A1E2EDD}">
      <formula1>0</formula1>
      <formula2>NbPerWeek * NbQuartPer</formula2>
    </dataValidation>
    <dataValidation type="list" allowBlank="1" showInputMessage="1" showErrorMessage="1" sqref="A40:A52 A111:A125 A130:A144 A75:A89 A57:A70 A21:A35 A3:A16 A94:A106" xr:uid="{BCBC0613-73E6-47AF-B0DB-7981EF783ABA}">
      <formula1>lstTasks</formula1>
    </dataValidation>
  </dataValidations>
  <pageMargins left="0.70866141732283472" right="0.70866141732283472" top="0.74803149606299213" bottom="0.74803149606299213" header="0.31496062992125984" footer="0.31496062992125984"/>
  <pageSetup paperSize="9" scale="80" fitToHeight="0" orientation="landscape"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2025-12-11T10:03:04Z</cp:lastPrinted>
  <dcterms:created xsi:type="dcterms:W3CDTF">1996-10-21T11:03:58Z</dcterms:created>
  <dcterms:modified xsi:type="dcterms:W3CDTF">2025-12-11T10:44:58Z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